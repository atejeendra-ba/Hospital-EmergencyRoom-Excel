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tejee\Downloads\"/>
    </mc:Choice>
  </mc:AlternateContent>
  <xr:revisionPtr revIDLastSave="0" documentId="13_ncr:1_{F93FCD74-96A4-4D05-A893-00698C327054}" xr6:coauthVersionLast="47" xr6:coauthVersionMax="47" xr10:uidLastSave="{00000000-0000-0000-0000-000000000000}"/>
  <bookViews>
    <workbookView xWindow="-108" yWindow="-108" windowWidth="23256" windowHeight="12456" firstSheet="1" activeTab="1" xr2:uid="{06F80221-4928-4851-8CA3-A4460DC780AB}"/>
  </bookViews>
  <sheets>
    <sheet name="Pivot Report" sheetId="1" r:id="rId1"/>
    <sheet name="Dashboard" sheetId="2" r:id="rId2"/>
    <sheet name="Daily ER No. Of Patients" sheetId="3" r:id="rId3"/>
    <sheet name="Average Daily Wait Time Trend" sheetId="4" r:id="rId4"/>
    <sheet name="Satisfaction Score Daily Trend" sheetId="5" r:id="rId5"/>
  </sheets>
  <definedNames>
    <definedName name="Slicer_Date__Month">#N/A</definedName>
    <definedName name="Slicer_Date__Year">#N/A</definedName>
  </definedNames>
  <calcPr calcId="191029"/>
  <pivotCaches>
    <pivotCache cacheId="2231" r:id="rId6"/>
    <pivotCache cacheId="2234" r:id="rId7"/>
    <pivotCache cacheId="2237" r:id="rId8"/>
    <pivotCache cacheId="2240" r:id="rId9"/>
    <pivotCache cacheId="2243" r:id="rId10"/>
    <pivotCache cacheId="2246" r:id="rId11"/>
    <pivotCache cacheId="2249" r:id="rId12"/>
    <pivotCache cacheId="2252" r:id="rId13"/>
    <pivotCache cacheId="2255" r:id="rId14"/>
    <pivotCache cacheId="2258" r:id="rId15"/>
    <pivotCache cacheId="2261" r:id="rId16"/>
    <pivotCache cacheId="2264" r:id="rId17"/>
  </pivotCaches>
  <extLst>
    <ext xmlns:x14="http://schemas.microsoft.com/office/spreadsheetml/2009/9/main" uri="{876F7934-8845-4945-9796-88D515C7AA90}">
      <x14:pivotCaches>
        <pivotCache cacheId="567" r:id="rId18"/>
        <pivotCache cacheId="671"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444caf9e-9cb9-4ac2-9b4b-7df3a2ab02c0" name="Hospital Emergency Room Data" connection="Query - Hospital Emergency Room Data"/>
          <x15:modelTable id="Calender_Table_41afb79d-95ed-454a-9eed-d9e6e75b849c"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3" i="1" l="1"/>
  <c r="C54" i="1"/>
  <c r="C53" i="1"/>
  <c r="B54" i="1"/>
  <c r="B53" i="1"/>
  <c r="A5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C7EF50-718B-42F9-A6EE-4BA27420A8ED}" name="Query - Calender_Table" description="Connection to the 'Calender_Table' query in the workbook." type="100" refreshedVersion="8" minRefreshableVersion="5">
    <extLst>
      <ext xmlns:x15="http://schemas.microsoft.com/office/spreadsheetml/2010/11/main" uri="{DE250136-89BD-433C-8126-D09CA5730AF9}">
        <x15:connection id="99bd1560-4114-415a-9d14-d1813cbaef50"/>
      </ext>
    </extLst>
  </connection>
  <connection id="2" xr16:uid="{DB3784C4-0B38-4D90-9FCC-1C558A683910}"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d5cb4bae-0069-42d7-8069-faa29aa38b42"/>
      </ext>
    </extLst>
  </connection>
  <connection id="3" xr16:uid="{C1D2C532-304D-4728-BD6E-021C4822043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<sst xmlns="http://schemas.openxmlformats.org/spreadsheetml/2006/main" count="153" uniqueCount="72">
  <si>
    <t>Distinct Count of Patient Id</t>
  </si>
  <si>
    <t>No Of Patient</t>
  </si>
  <si>
    <t>Average of Patient Waittime</t>
  </si>
  <si>
    <t>Average of Patient Satisfaction Score</t>
  </si>
  <si>
    <t>Row Labels</t>
  </si>
  <si>
    <t>Grand Total</t>
  </si>
  <si>
    <t>Count of Patient Admission Flag</t>
  </si>
  <si>
    <t>Admitted</t>
  </si>
  <si>
    <t>Not Admitted</t>
  </si>
  <si>
    <t>Count of Patient Admission Flag2</t>
  </si>
  <si>
    <t>Admission Status</t>
  </si>
  <si>
    <t>No. Of Patient</t>
  </si>
  <si>
    <t>% Status</t>
  </si>
  <si>
    <t>0-09</t>
  </si>
  <si>
    <t>10-19</t>
  </si>
  <si>
    <t>20-29</t>
  </si>
  <si>
    <t>30-39</t>
  </si>
  <si>
    <t>40-49</t>
  </si>
  <si>
    <t>50-59</t>
  </si>
  <si>
    <t>60-69</t>
  </si>
  <si>
    <t>70-79</t>
  </si>
  <si>
    <t>Count of Age Group</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</si>
  <si>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</si>
  <si>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</si>
  <si>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</si>
  <si>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</si>
  <si>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</si>
  <si>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</si>
  <si>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</si>
  <si>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</si>
  <si>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</si>
  <si>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</si>
  <si>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</si>
  <si>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</si>
  <si>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</si>
  <si>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</si>
  <si>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</si>
  <si>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</si>
  <si>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</si>
  <si>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</si>
  <si>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</si>
  <si>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</si>
  <si>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</si>
  <si>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</si>
  <si>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</si>
  <si>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</si>
  <si>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</si>
  <si>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</si>
  <si>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</si>
  <si>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</si>
  <si>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</si>
  <si>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</si>
  <si>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</si>
  <si>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Age Group Analysis</t>
  </si>
  <si>
    <t>Delay</t>
  </si>
  <si>
    <t>Ontime</t>
  </si>
  <si>
    <t>Count of Patient Attend Status</t>
  </si>
  <si>
    <t>Attended Status</t>
  </si>
  <si>
    <t>Female</t>
  </si>
  <si>
    <t>Male</t>
  </si>
  <si>
    <t>Count of Patient Gender</t>
  </si>
  <si>
    <t>Gender wise Analysis</t>
  </si>
  <si>
    <t>Cardiology</t>
  </si>
  <si>
    <t>Gastroenterology</t>
  </si>
  <si>
    <t>General Practice</t>
  </si>
  <si>
    <t>Neurology</t>
  </si>
  <si>
    <t>None</t>
  </si>
  <si>
    <t>Orthopedics</t>
  </si>
  <si>
    <t>Physiotherapy</t>
  </si>
  <si>
    <t>Renal</t>
  </si>
  <si>
    <t>Count of Department Referral</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</si>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</sst>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1"/>
      <color theme="1"/>
      <name val="Calibri"/>
      <family val="2"/>
      <scheme val="minor"/>
    </font>
    <font>
      <sz val="11"/>
      <color theme="0"/>
      <name val="Calibri"/>
      <family val="2"/>
      <scheme val="minor"/>
    </font>
    <font>
      <u/>
      <sz val="11"/>
      <color theme="0"/>
      <name val="Calibri"/>
      <family val="2"/>
      <scheme val="minor"/>
    </font>
    <font>
      <u/>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2"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3" fillId="2" borderId="0" xfId="0" applyFont="1" applyFill="1"/>
    <xf numFmtId="0" fontId="4" fillId="2" borderId="0" xfId="0" applyFont="1" applyFill="1"/>
    <xf numFmtId="1" fontId="0" fillId="0" borderId="0" xfId="0" applyNumberFormat="1"/>
    <xf numFmtId="10" fontId="0" fillId="0" borderId="0" xfId="0" applyNumberFormat="1"/>
    <xf numFmtId="0" fontId="0" fillId="3" borderId="0" xfId="0" applyFill="1" applyAlignment="1">
      <alignment horizontal="center"/>
    </xf>
    <xf numFmtId="10" fontId="0" fillId="3" borderId="0" xfId="1" applyNumberFormat="1" applyFont="1" applyFill="1" applyAlignment="1">
      <alignment horizontal="center"/>
    </xf>
    <xf numFmtId="0" fontId="0" fillId="3" borderId="0" xfId="0" applyFill="1"/>
    <xf numFmtId="0" fontId="2" fillId="4" borderId="0" xfId="0" applyFont="1" applyFill="1" applyAlignment="1">
      <alignment horizontal="center"/>
    </xf>
    <xf numFmtId="0" fontId="0" fillId="4" borderId="0" xfId="0" applyFill="1"/>
    <xf numFmtId="0" fontId="0" fillId="0" borderId="0" xfId="0" applyNumberFormat="1"/>
  </cellXfs>
  <cellStyles count="2">
    <cellStyle name="Normal" xfId="0" builtinId="0"/>
    <cellStyle name="Percent" xfId="1" builtinId="5"/>
  </cellStyles>
  <dxfs count="544">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14" formatCode="0.00%"/>
    </dxf>
    <dxf>
      <numFmt numFmtId="1" formatCode="0"/>
    </dxf>
    <dxf>
      <numFmt numFmtId="2" formatCode="0.00"/>
    </dxf>
    <dxf>
      <numFmt numFmtId="2" formatCode="0.00"/>
    </dxf>
    <dxf>
      <font>
        <b/>
        <color theme="1"/>
      </font>
      <border>
        <bottom style="thin">
          <color theme="9"/>
        </bottom>
        <vertical/>
        <horizontal/>
      </border>
    </dxf>
    <dxf>
      <font>
        <sz val="8"/>
        <color theme="1"/>
      </font>
      <fill>
        <patternFill patternType="solid">
          <fgColor auto="1"/>
          <bgColor auto="1"/>
        </patternFill>
      </fill>
      <border diagonalUp="0" diagonalDown="0">
        <left/>
        <right/>
        <top/>
        <bottom/>
        <vertical/>
        <horizontal/>
      </border>
    </dxf>
    <dxf>
      <font>
        <b/>
        <color theme="1"/>
      </font>
      <border>
        <bottom style="thin">
          <color theme="5"/>
        </bottom>
        <vertical/>
        <horizontal/>
      </border>
    </dxf>
    <dxf>
      <font>
        <sz val="9"/>
        <color theme="1"/>
      </font>
      <fill>
        <patternFill>
          <bgColor theme="0"/>
        </patternFill>
      </fill>
      <border diagonalUp="0" diagonalDown="0">
        <left/>
        <right/>
        <top/>
        <bottom/>
        <vertical/>
        <horizontal/>
      </border>
    </dxf>
  </dxfs>
  <tableStyles count="2" defaultTableStyle="TableStyleMedium2" defaultPivotStyle="PivotStyleLight16">
    <tableStyle name="My Slicer" pivot="0" table="0" count="10" xr9:uid="{F609D808-A5A6-4A2C-97D9-B6A571B24774}">
      <tableStyleElement type="wholeTable" dxfId="543"/>
      <tableStyleElement type="headerRow" dxfId="542"/>
    </tableStyle>
    <tableStyle name="My Style" pivot="0" table="0" count="10" xr9:uid="{0B8D6154-64F6-4D9C-9207-2DA01FCF2584}">
      <tableStyleElement type="wholeTable" dxfId="541"/>
      <tableStyleElement type="headerRow" dxfId="540"/>
    </tableStyle>
  </tableStyles>
  <colors>
    <mruColors>
      <color rgb="FFFF3300"/>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licer">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Excel Dashboard.xlsx]Pivot Report!PivotTable7</c:name>
    <c:fmtId val="1"/>
  </c:pivotSource>
  <c:chart>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3"/>
        <c:spPr>
          <a:solidFill>
            <a:srgbClr val="0070C0"/>
          </a:solidFill>
          <a:ln>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6C971AE0-4C45-4A1C-B435-5FBEA3D66839}" type="CELLRANGE">
                  <a:rPr lang="en-US"/>
                  <a:pPr>
                    <a:defRPr sz="800"/>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3.8077510150388199E-3"/>
          <c:y val="0.12531637211963817"/>
          <c:w val="0.63894409222280124"/>
          <c:h val="0.7493671385692936"/>
        </c:manualLayout>
      </c:layout>
      <c:barChart>
        <c:barDir val="bar"/>
        <c:grouping val="clustered"/>
        <c:varyColors val="0"/>
        <c:ser>
          <c:idx val="0"/>
          <c:order val="0"/>
          <c:tx>
            <c:strRef>
              <c:f>'Pivot Report'!$C$42:$C$43</c:f>
              <c:strCache>
                <c:ptCount val="1"/>
                <c:pt idx="0">
                  <c:v>Count of Patient Admission Flag</c:v>
                </c:pt>
              </c:strCache>
            </c:strRef>
          </c:tx>
          <c:spPr>
            <a:solidFill>
              <a:srgbClr val="0070C0"/>
            </a:solidFill>
            <a:ln>
              <a:noFill/>
            </a:ln>
            <a:effectLst/>
          </c:spPr>
          <c:invertIfNegative val="0"/>
          <c:dPt>
            <c:idx val="0"/>
            <c:invertIfNegative val="0"/>
            <c:bubble3D val="0"/>
          </c:dPt>
          <c:dPt>
            <c:idx val="1"/>
            <c:invertIfNegative val="0"/>
            <c:bubble3D val="0"/>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Report'!$C$42:$C$43</c:f>
              <c:strCache>
                <c:ptCount val="2"/>
                <c:pt idx="0">
                  <c:v>Admitted</c:v>
                </c:pt>
                <c:pt idx="1">
                  <c:v>Not Admitted</c:v>
                </c:pt>
              </c:strCache>
            </c:strRef>
          </c:cat>
          <c:val>
            <c:numRef>
              <c:f>'Pivot Report'!$C$42:$C$43</c:f>
              <c:numCache>
                <c:formatCode>0</c:formatCode>
                <c:ptCount val="2"/>
                <c:pt idx="0">
                  <c:v>269</c:v>
                </c:pt>
                <c:pt idx="1">
                  <c:v>244</c:v>
                </c:pt>
              </c:numCache>
            </c:numRef>
          </c:val>
          <c:extLst>
            <c:ext xmlns:c16="http://schemas.microsoft.com/office/drawing/2014/chart" uri="{C3380CC4-5D6E-409C-BE32-E72D297353CC}">
              <c16:uniqueId val="{00000009-38BB-4E39-A669-6474988DE92F}"/>
            </c:ext>
          </c:extLst>
        </c:ser>
        <c:ser>
          <c:idx val="1"/>
          <c:order val="1"/>
          <c:tx>
            <c:strRef>
              <c:f>'Pivot Report'!$C$42:$C$43</c:f>
              <c:strCache>
                <c:ptCount val="1"/>
                <c:pt idx="0">
                  <c:v>Count of Patient Admission Flag2</c:v>
                </c:pt>
              </c:strCache>
            </c:strRef>
          </c:tx>
          <c:spPr>
            <a:solidFill>
              <a:schemeClr val="accent2"/>
            </a:solidFill>
            <a:ln>
              <a:noFill/>
            </a:ln>
            <a:effectLst/>
          </c:spPr>
          <c:invertIfNegative val="0"/>
          <c:cat>
            <c:strRef>
              <c:f>'Pivot Report'!$C$42:$C$43</c:f>
              <c:strCache>
                <c:ptCount val="2"/>
                <c:pt idx="0">
                  <c:v>Admitted</c:v>
                </c:pt>
                <c:pt idx="1">
                  <c:v>Not Admitted</c:v>
                </c:pt>
              </c:strCache>
            </c:strRef>
          </c:cat>
          <c:val>
            <c:numRef>
              <c:f>'Pivot Report'!$C$42:$C$43</c:f>
              <c:numCache>
                <c:formatCode>0.00%</c:formatCode>
                <c:ptCount val="2"/>
                <c:pt idx="0">
                  <c:v>0.52436647173489281</c:v>
                </c:pt>
                <c:pt idx="1">
                  <c:v>0.47563352826510719</c:v>
                </c:pt>
              </c:numCache>
            </c:numRef>
          </c:val>
          <c:extLst>
            <c:ext xmlns:c16="http://schemas.microsoft.com/office/drawing/2014/chart" uri="{C3380CC4-5D6E-409C-BE32-E72D297353CC}">
              <c16:uniqueId val="{0000000A-38BB-4E39-A669-6474988DE92F}"/>
            </c:ext>
          </c:extLst>
        </c:ser>
        <c:dLbls>
          <c:showLegendKey val="0"/>
          <c:showVal val="0"/>
          <c:showCatName val="0"/>
          <c:showSerName val="0"/>
          <c:showPercent val="0"/>
          <c:showBubbleSize val="0"/>
        </c:dLbls>
        <c:gapWidth val="0"/>
        <c:axId val="1922862303"/>
        <c:axId val="1922859423"/>
      </c:barChart>
      <c:catAx>
        <c:axId val="1922862303"/>
        <c:scaling>
          <c:orientation val="minMax"/>
        </c:scaling>
        <c:delete val="1"/>
        <c:axPos val="l"/>
        <c:numFmt formatCode="General" sourceLinked="1"/>
        <c:majorTickMark val="none"/>
        <c:minorTickMark val="none"/>
        <c:tickLblPos val="nextTo"/>
        <c:crossAx val="1922859423"/>
        <c:crosses val="autoZero"/>
        <c:auto val="1"/>
        <c:lblAlgn val="ctr"/>
        <c:lblOffset val="100"/>
        <c:noMultiLvlLbl val="0"/>
      </c:catAx>
      <c:valAx>
        <c:axId val="1922859423"/>
        <c:scaling>
          <c:orientation val="minMax"/>
        </c:scaling>
        <c:delete val="1"/>
        <c:axPos val="b"/>
        <c:numFmt formatCode="0" sourceLinked="1"/>
        <c:majorTickMark val="none"/>
        <c:minorTickMark val="none"/>
        <c:tickLblPos val="nextTo"/>
        <c:crossAx val="1922862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Excel Dashboard.xlsx]Pivot Report!PivotTable4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330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354478070501989E-2"/>
          <c:y val="0"/>
          <c:w val="0.86329104385899602"/>
          <c:h val="0.64899239506879625"/>
        </c:manualLayout>
      </c:layout>
      <c:areaChart>
        <c:grouping val="standard"/>
        <c:varyColors val="0"/>
        <c:ser>
          <c:idx val="0"/>
          <c:order val="0"/>
          <c:tx>
            <c:strRef>
              <c:f>'Pivot Report'!$D$4</c:f>
              <c:strCache>
                <c:ptCount val="1"/>
                <c:pt idx="0">
                  <c:v>Total</c:v>
                </c:pt>
              </c:strCache>
            </c:strRef>
          </c:tx>
          <c:spPr>
            <a:solidFill>
              <a:srgbClr val="FF3300"/>
            </a:solidFill>
            <a:ln w="25400">
              <a:noFill/>
            </a:ln>
            <a:effectLst/>
          </c:spPr>
          <c:cat>
            <c:strRef>
              <c:f>'Pivot Report'!$C$5:$C$36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Report'!$D$5:$D$36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4-F15A-4626-B126-B68731E0D261}"/>
            </c:ext>
          </c:extLst>
        </c:ser>
        <c:dLbls>
          <c:showLegendKey val="0"/>
          <c:showVal val="0"/>
          <c:showCatName val="0"/>
          <c:showSerName val="0"/>
          <c:showPercent val="0"/>
          <c:showBubbleSize val="0"/>
        </c:dLbls>
        <c:axId val="1935383455"/>
        <c:axId val="1935375295"/>
      </c:areaChart>
      <c:catAx>
        <c:axId val="1935383455"/>
        <c:scaling>
          <c:orientation val="minMax"/>
        </c:scaling>
        <c:delete val="1"/>
        <c:axPos val="b"/>
        <c:numFmt formatCode="General" sourceLinked="1"/>
        <c:majorTickMark val="out"/>
        <c:minorTickMark val="none"/>
        <c:tickLblPos val="nextTo"/>
        <c:crossAx val="1935375295"/>
        <c:crosses val="autoZero"/>
        <c:auto val="1"/>
        <c:lblAlgn val="ctr"/>
        <c:lblOffset val="100"/>
        <c:noMultiLvlLbl val="0"/>
      </c:catAx>
      <c:valAx>
        <c:axId val="1935375295"/>
        <c:scaling>
          <c:orientation val="minMax"/>
        </c:scaling>
        <c:delete val="1"/>
        <c:axPos val="l"/>
        <c:numFmt formatCode="General" sourceLinked="1"/>
        <c:majorTickMark val="none"/>
        <c:minorTickMark val="none"/>
        <c:tickLblPos val="nextTo"/>
        <c:crossAx val="193538345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Excel Dashboard.xlsx]Pivot Report!PivotTable5</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330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525396856282793E-3"/>
          <c:y val="3.9178259462956971E-2"/>
          <c:w val="0.99037772249045963"/>
          <c:h val="0.96082174053704306"/>
        </c:manualLayout>
      </c:layout>
      <c:areaChart>
        <c:grouping val="standard"/>
        <c:varyColors val="0"/>
        <c:ser>
          <c:idx val="0"/>
          <c:order val="0"/>
          <c:tx>
            <c:strRef>
              <c:f>'Pivot Report'!$G$4</c:f>
              <c:strCache>
                <c:ptCount val="1"/>
                <c:pt idx="0">
                  <c:v>Total</c:v>
                </c:pt>
              </c:strCache>
            </c:strRef>
          </c:tx>
          <c:spPr>
            <a:solidFill>
              <a:srgbClr val="FF3300"/>
            </a:solidFill>
            <a:ln w="25400">
              <a:noFill/>
            </a:ln>
            <a:effectLst/>
          </c:spPr>
          <c:cat>
            <c:strRef>
              <c:f>'Pivot Report'!$F$5:$F$36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Report'!$G$5:$G$36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4-AC00-41A4-BAEA-A9E18FE79B5E}"/>
            </c:ext>
          </c:extLst>
        </c:ser>
        <c:dLbls>
          <c:showLegendKey val="0"/>
          <c:showVal val="0"/>
          <c:showCatName val="0"/>
          <c:showSerName val="0"/>
          <c:showPercent val="0"/>
          <c:showBubbleSize val="0"/>
        </c:dLbls>
        <c:axId val="68399392"/>
        <c:axId val="68399872"/>
      </c:areaChart>
      <c:catAx>
        <c:axId val="68399392"/>
        <c:scaling>
          <c:orientation val="minMax"/>
        </c:scaling>
        <c:delete val="1"/>
        <c:axPos val="b"/>
        <c:numFmt formatCode="General" sourceLinked="1"/>
        <c:majorTickMark val="out"/>
        <c:minorTickMark val="none"/>
        <c:tickLblPos val="nextTo"/>
        <c:crossAx val="68399872"/>
        <c:crosses val="autoZero"/>
        <c:auto val="1"/>
        <c:lblAlgn val="ctr"/>
        <c:lblOffset val="100"/>
        <c:noMultiLvlLbl val="0"/>
      </c:catAx>
      <c:valAx>
        <c:axId val="68399872"/>
        <c:scaling>
          <c:orientation val="minMax"/>
        </c:scaling>
        <c:delete val="1"/>
        <c:axPos val="l"/>
        <c:numFmt formatCode="0.00" sourceLinked="1"/>
        <c:majorTickMark val="none"/>
        <c:minorTickMark val="none"/>
        <c:tickLblPos val="nextTo"/>
        <c:crossAx val="6839939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Excel Dashboard.xlsx]Pivot Report!PivotTable6</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330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45740620155792155"/>
          <c:w val="1"/>
          <c:h val="0.54259379844207845"/>
        </c:manualLayout>
      </c:layout>
      <c:areaChart>
        <c:grouping val="standard"/>
        <c:varyColors val="0"/>
        <c:ser>
          <c:idx val="0"/>
          <c:order val="0"/>
          <c:tx>
            <c:strRef>
              <c:f>'Pivot Report'!$J$4</c:f>
              <c:strCache>
                <c:ptCount val="1"/>
                <c:pt idx="0">
                  <c:v>Total</c:v>
                </c:pt>
              </c:strCache>
            </c:strRef>
          </c:tx>
          <c:spPr>
            <a:solidFill>
              <a:srgbClr val="FF3300"/>
            </a:solidFill>
            <a:ln w="25400">
              <a:noFill/>
            </a:ln>
            <a:effectLst/>
          </c:spPr>
          <c:cat>
            <c:strRef>
              <c:f>'Pivot Report'!$I$5:$I$36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Report'!$J$5:$J$36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4-E5DE-4379-807B-BA0408D5B774}"/>
            </c:ext>
          </c:extLst>
        </c:ser>
        <c:dLbls>
          <c:showLegendKey val="0"/>
          <c:showVal val="0"/>
          <c:showCatName val="0"/>
          <c:showSerName val="0"/>
          <c:showPercent val="0"/>
          <c:showBubbleSize val="0"/>
        </c:dLbls>
        <c:axId val="1936462975"/>
        <c:axId val="1936465375"/>
      </c:areaChart>
      <c:catAx>
        <c:axId val="1936462975"/>
        <c:scaling>
          <c:orientation val="minMax"/>
        </c:scaling>
        <c:delete val="1"/>
        <c:axPos val="b"/>
        <c:numFmt formatCode="General" sourceLinked="1"/>
        <c:majorTickMark val="out"/>
        <c:minorTickMark val="none"/>
        <c:tickLblPos val="nextTo"/>
        <c:crossAx val="1936465375"/>
        <c:crosses val="autoZero"/>
        <c:auto val="1"/>
        <c:lblAlgn val="ctr"/>
        <c:lblOffset val="100"/>
        <c:noMultiLvlLbl val="0"/>
      </c:catAx>
      <c:valAx>
        <c:axId val="1936465375"/>
        <c:scaling>
          <c:orientation val="minMax"/>
        </c:scaling>
        <c:delete val="1"/>
        <c:axPos val="l"/>
        <c:numFmt formatCode="0.00" sourceLinked="1"/>
        <c:majorTickMark val="none"/>
        <c:minorTickMark val="none"/>
        <c:tickLblPos val="nextTo"/>
        <c:crossAx val="1936462975"/>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Excel Dashboard.xlsx]Pivot Report!PivotTable8</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677126055531398E-3"/>
          <c:y val="4.7969414793766062E-2"/>
          <c:w val="0.99733218610333618"/>
          <c:h val="0.60171471840676127"/>
        </c:manualLayout>
      </c:layout>
      <c:barChart>
        <c:barDir val="col"/>
        <c:grouping val="clustered"/>
        <c:varyColors val="0"/>
        <c:ser>
          <c:idx val="0"/>
          <c:order val="0"/>
          <c:tx>
            <c:strRef>
              <c:f>'Pivot Report'!$G$41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Report'!$F$42:$F$50</c:f>
              <c:strCache>
                <c:ptCount val="8"/>
                <c:pt idx="0">
                  <c:v>0-09</c:v>
                </c:pt>
                <c:pt idx="1">
                  <c:v>10-19</c:v>
                </c:pt>
                <c:pt idx="2">
                  <c:v>20-29</c:v>
                </c:pt>
                <c:pt idx="3">
                  <c:v>30-39</c:v>
                </c:pt>
                <c:pt idx="4">
                  <c:v>40-49</c:v>
                </c:pt>
                <c:pt idx="5">
                  <c:v>50-59</c:v>
                </c:pt>
                <c:pt idx="6">
                  <c:v>60-69</c:v>
                </c:pt>
                <c:pt idx="7">
                  <c:v>70-79</c:v>
                </c:pt>
              </c:strCache>
            </c:strRef>
          </c:cat>
          <c:val>
            <c:numRef>
              <c:f>'Pivot Report'!$G$42:$G$50</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4-1A52-4CD4-B706-7B9A1E616AA1}"/>
            </c:ext>
          </c:extLst>
        </c:ser>
        <c:dLbls>
          <c:showLegendKey val="0"/>
          <c:showVal val="0"/>
          <c:showCatName val="0"/>
          <c:showSerName val="0"/>
          <c:showPercent val="0"/>
          <c:showBubbleSize val="0"/>
        </c:dLbls>
        <c:gapWidth val="219"/>
        <c:overlap val="-27"/>
        <c:axId val="337997104"/>
        <c:axId val="337996144"/>
      </c:barChart>
      <c:catAx>
        <c:axId val="337997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996144"/>
        <c:crosses val="autoZero"/>
        <c:auto val="1"/>
        <c:lblAlgn val="ctr"/>
        <c:lblOffset val="100"/>
        <c:noMultiLvlLbl val="0"/>
      </c:catAx>
      <c:valAx>
        <c:axId val="337996144"/>
        <c:scaling>
          <c:orientation val="minMax"/>
        </c:scaling>
        <c:delete val="1"/>
        <c:axPos val="l"/>
        <c:numFmt formatCode="0" sourceLinked="1"/>
        <c:majorTickMark val="none"/>
        <c:minorTickMark val="none"/>
        <c:tickLblPos val="nextTo"/>
        <c:crossAx val="337997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Excel Dashboard.xlsx]Pivot Report!PivotTable9</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29279614287817735"/>
              <c:y val="-7.603927146365915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0.24060435053051951"/>
              <c:y val="7.60392714636590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999047438752112"/>
          <c:y val="0.13571432144506715"/>
          <c:w val="0.64690177200431509"/>
          <c:h val="0.71793311245358271"/>
        </c:manualLayout>
      </c:layout>
      <c:pieChart>
        <c:varyColors val="1"/>
        <c:ser>
          <c:idx val="0"/>
          <c:order val="0"/>
          <c:tx>
            <c:strRef>
              <c:f>'Pivot Report'!$J$41</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A-5AAE-404F-AB73-B4EA0645C754}"/>
              </c:ext>
            </c:extLst>
          </c:dPt>
          <c:dPt>
            <c:idx val="1"/>
            <c:bubble3D val="0"/>
            <c:spPr>
              <a:solidFill>
                <a:schemeClr val="accent2"/>
              </a:solidFill>
              <a:ln>
                <a:noFill/>
              </a:ln>
              <a:effectLst/>
            </c:spPr>
            <c:extLst>
              <c:ext xmlns:c16="http://schemas.microsoft.com/office/drawing/2014/chart" uri="{C3380CC4-5D6E-409C-BE32-E72D297353CC}">
                <c16:uniqueId val="{0000000B-5AAE-404F-AB73-B4EA0645C754}"/>
              </c:ext>
            </c:extLst>
          </c:dPt>
          <c:dLbls>
            <c:dLbl>
              <c:idx val="0"/>
              <c:layout>
                <c:manualLayout>
                  <c:x val="-0.29279614287817735"/>
                  <c:y val="-7.603927146365915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A-5AAE-404F-AB73-B4EA0645C754}"/>
                </c:ext>
              </c:extLst>
            </c:dLbl>
            <c:dLbl>
              <c:idx val="1"/>
              <c:layout>
                <c:manualLayout>
                  <c:x val="0.24060435053051951"/>
                  <c:y val="7.6039271463659006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5AAE-404F-AB73-B4EA0645C75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Report'!$I$42:$I$44</c:f>
              <c:strCache>
                <c:ptCount val="2"/>
                <c:pt idx="0">
                  <c:v>Delay</c:v>
                </c:pt>
                <c:pt idx="1">
                  <c:v>Ontime</c:v>
                </c:pt>
              </c:strCache>
            </c:strRef>
          </c:cat>
          <c:val>
            <c:numRef>
              <c:f>'Pivot Report'!$J$42:$J$44</c:f>
              <c:numCache>
                <c:formatCode>0</c:formatCode>
                <c:ptCount val="2"/>
                <c:pt idx="0">
                  <c:v>316</c:v>
                </c:pt>
                <c:pt idx="1">
                  <c:v>197</c:v>
                </c:pt>
              </c:numCache>
            </c:numRef>
          </c:val>
          <c:extLst>
            <c:ext xmlns:c16="http://schemas.microsoft.com/office/drawing/2014/chart" uri="{C3380CC4-5D6E-409C-BE32-E72D297353CC}">
              <c16:uniqueId val="{00000009-5AAE-404F-AB73-B4EA0645C75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4.7597013618798732E-3"/>
          <c:y val="1.5123544497916861E-2"/>
          <c:w val="0.99524029863812014"/>
          <c:h val="0.1147521350198531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Excel Dashboard.xlsx]Pivot Report!PivotTable10</c:name>
    <c:fmtId val="17"/>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0950351505278635"/>
          <c:y val="0.15263308114478369"/>
          <c:w val="0.76462018861171333"/>
          <c:h val="0.71344416907095332"/>
        </c:manualLayout>
      </c:layout>
      <c:doughnutChart>
        <c:varyColors val="1"/>
        <c:ser>
          <c:idx val="0"/>
          <c:order val="0"/>
          <c:tx>
            <c:strRef>
              <c:f>'Pivot Report'!$J$49</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Report'!$I$50:$I$52</c:f>
              <c:strCache>
                <c:ptCount val="2"/>
                <c:pt idx="0">
                  <c:v>Female</c:v>
                </c:pt>
                <c:pt idx="1">
                  <c:v>Male</c:v>
                </c:pt>
              </c:strCache>
            </c:strRef>
          </c:cat>
          <c:val>
            <c:numRef>
              <c:f>'Pivot Report'!$J$50:$J$52</c:f>
              <c:numCache>
                <c:formatCode>0</c:formatCode>
                <c:ptCount val="2"/>
                <c:pt idx="0">
                  <c:v>241</c:v>
                </c:pt>
                <c:pt idx="1">
                  <c:v>272</c:v>
                </c:pt>
              </c:numCache>
            </c:numRef>
          </c:val>
          <c:extLst>
            <c:ext xmlns:c16="http://schemas.microsoft.com/office/drawing/2014/chart" uri="{C3380CC4-5D6E-409C-BE32-E72D297353CC}">
              <c16:uniqueId val="{00000009-8B97-40D2-91DD-BBC30915D016}"/>
            </c:ext>
          </c:extLst>
        </c:ser>
        <c:dLbls>
          <c:showLegendKey val="0"/>
          <c:showVal val="0"/>
          <c:showCatName val="0"/>
          <c:showSerName val="0"/>
          <c:showPercent val="1"/>
          <c:showBubbleSize val="0"/>
          <c:showLeaderLines val="1"/>
        </c:dLbls>
        <c:firstSliceAng val="0"/>
        <c:holeSize val="40"/>
      </c:doughnutChart>
      <c:spPr>
        <a:noFill/>
        <a:ln>
          <a:noFill/>
        </a:ln>
        <a:effectLst/>
      </c:spPr>
    </c:plotArea>
    <c:legend>
      <c:legendPos val="r"/>
      <c:layout>
        <c:manualLayout>
          <c:xMode val="edge"/>
          <c:yMode val="edge"/>
          <c:x val="1.9133857331938308E-3"/>
          <c:y val="1.6734213334996022E-2"/>
          <c:w val="0.99249655242839774"/>
          <c:h val="0.1280963576146795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Excel Dashboard.xlsx]Pivot Report!PivotTable11</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113916665056072"/>
          <c:y val="4.0426068538589932E-2"/>
          <c:w val="0.69570817344386504"/>
          <c:h val="0.83860112783553376"/>
        </c:manualLayout>
      </c:layout>
      <c:barChart>
        <c:barDir val="bar"/>
        <c:grouping val="clustered"/>
        <c:varyColors val="0"/>
        <c:ser>
          <c:idx val="0"/>
          <c:order val="0"/>
          <c:tx>
            <c:strRef>
              <c:f>'Pivot Report'!$J$57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Report'!$I$58:$I$66</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Report'!$J$58:$J$66</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5-71DA-4403-A384-661DFB127ED8}"/>
            </c:ext>
          </c:extLst>
        </c:ser>
        <c:dLbls>
          <c:showLegendKey val="0"/>
          <c:showVal val="0"/>
          <c:showCatName val="0"/>
          <c:showSerName val="0"/>
          <c:showPercent val="0"/>
          <c:showBubbleSize val="0"/>
        </c:dLbls>
        <c:gapWidth val="30"/>
        <c:axId val="977068016"/>
        <c:axId val="977056016"/>
      </c:barChart>
      <c:catAx>
        <c:axId val="977068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977056016"/>
        <c:crosses val="autoZero"/>
        <c:auto val="1"/>
        <c:lblAlgn val="ctr"/>
        <c:lblOffset val="100"/>
        <c:noMultiLvlLbl val="0"/>
      </c:catAx>
      <c:valAx>
        <c:axId val="977056016"/>
        <c:scaling>
          <c:orientation val="minMax"/>
        </c:scaling>
        <c:delete val="1"/>
        <c:axPos val="b"/>
        <c:numFmt formatCode="0" sourceLinked="1"/>
        <c:majorTickMark val="none"/>
        <c:minorTickMark val="none"/>
        <c:tickLblPos val="nextTo"/>
        <c:crossAx val="97706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Excel Dashboard.xlsx]Pivot Report!PivotTable4</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354478070501989E-2"/>
          <c:y val="0"/>
          <c:w val="0.86329104385899602"/>
          <c:h val="0.64899239506879625"/>
        </c:manualLayout>
      </c:layout>
      <c:areaChart>
        <c:grouping val="standard"/>
        <c:varyColors val="0"/>
        <c:ser>
          <c:idx val="0"/>
          <c:order val="0"/>
          <c:tx>
            <c:strRef>
              <c:f>'Pivot Report'!$D$4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Report'!$C$5:$C$36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Report'!$D$5:$D$36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3-C22B-4E34-9B5D-88BFB50D432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35383455"/>
        <c:axId val="1935375295"/>
      </c:areaChart>
      <c:catAx>
        <c:axId val="193538345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35375295"/>
        <c:crosses val="autoZero"/>
        <c:auto val="1"/>
        <c:lblAlgn val="ctr"/>
        <c:lblOffset val="100"/>
        <c:noMultiLvlLbl val="0"/>
      </c:catAx>
      <c:valAx>
        <c:axId val="1935375295"/>
        <c:scaling>
          <c:orientation val="minMax"/>
        </c:scaling>
        <c:delete val="1"/>
        <c:axPos val="l"/>
        <c:numFmt formatCode="General" sourceLinked="1"/>
        <c:majorTickMark val="out"/>
        <c:minorTickMark val="none"/>
        <c:tickLblPos val="nextTo"/>
        <c:crossAx val="193538345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Excel Dashboard.xlsx]Pivot Report!PivotTable5</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99239888591908"/>
          <c:y val="0.11937439326933448"/>
          <c:w val="0.76611685007263997"/>
          <c:h val="0.72537446517815418"/>
        </c:manualLayout>
      </c:layout>
      <c:areaChart>
        <c:grouping val="standard"/>
        <c:varyColors val="0"/>
        <c:ser>
          <c:idx val="0"/>
          <c:order val="0"/>
          <c:tx>
            <c:strRef>
              <c:f>'Pivot Report'!$G$4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Report'!$F$5:$F$36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Report'!$G$5:$G$36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3-BCF1-47EF-9B4F-E642D2B7494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8399392"/>
        <c:axId val="68399872"/>
      </c:areaChart>
      <c:catAx>
        <c:axId val="6839939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800" b="0" i="0" u="none" strike="noStrike" kern="1200" baseline="0">
                <a:solidFill>
                  <a:schemeClr val="lt1"/>
                </a:solidFill>
                <a:latin typeface="+mn-lt"/>
                <a:ea typeface="+mn-ea"/>
                <a:cs typeface="+mn-cs"/>
              </a:defRPr>
            </a:pPr>
            <a:endParaRPr lang="en-US"/>
          </a:p>
        </c:txPr>
        <c:crossAx val="68399872"/>
        <c:crosses val="autoZero"/>
        <c:auto val="1"/>
        <c:lblAlgn val="ctr"/>
        <c:lblOffset val="100"/>
        <c:noMultiLvlLbl val="0"/>
      </c:catAx>
      <c:valAx>
        <c:axId val="68399872"/>
        <c:scaling>
          <c:orientation val="minMax"/>
        </c:scaling>
        <c:delete val="1"/>
        <c:axPos val="l"/>
        <c:numFmt formatCode="0.00" sourceLinked="1"/>
        <c:majorTickMark val="out"/>
        <c:minorTickMark val="none"/>
        <c:tickLblPos val="nextTo"/>
        <c:crossAx val="6839939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Excel Dashboard.xlsx]Pivot Report!PivotTable6</c:name>
    <c:fmtId val="2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88232656612207E-2"/>
          <c:y val="3.9824583450289448E-2"/>
          <c:w val="0.82222689841508212"/>
          <c:h val="0.80492425354597241"/>
        </c:manualLayout>
      </c:layout>
      <c:areaChart>
        <c:grouping val="standard"/>
        <c:varyColors val="0"/>
        <c:ser>
          <c:idx val="0"/>
          <c:order val="0"/>
          <c:tx>
            <c:strRef>
              <c:f>'Pivot Report'!$J$4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Report'!$I$5:$I$36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Report'!$J$5:$J$36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3-145A-4820-AE26-6DDCE5077A0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8399392"/>
        <c:axId val="68399872"/>
      </c:areaChart>
      <c:catAx>
        <c:axId val="6839939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800" b="0" i="0" u="none" strike="noStrike" kern="1200" baseline="0">
                <a:solidFill>
                  <a:schemeClr val="lt1"/>
                </a:solidFill>
                <a:latin typeface="+mn-lt"/>
                <a:ea typeface="+mn-ea"/>
                <a:cs typeface="+mn-cs"/>
              </a:defRPr>
            </a:pPr>
            <a:endParaRPr lang="en-US"/>
          </a:p>
        </c:txPr>
        <c:crossAx val="68399872"/>
        <c:crosses val="autoZero"/>
        <c:auto val="1"/>
        <c:lblAlgn val="ctr"/>
        <c:lblOffset val="100"/>
        <c:noMultiLvlLbl val="0"/>
      </c:catAx>
      <c:valAx>
        <c:axId val="68399872"/>
        <c:scaling>
          <c:orientation val="minMax"/>
        </c:scaling>
        <c:delete val="1"/>
        <c:axPos val="l"/>
        <c:numFmt formatCode="0.00" sourceLinked="1"/>
        <c:majorTickMark val="out"/>
        <c:minorTickMark val="none"/>
        <c:tickLblPos val="nextTo"/>
        <c:crossAx val="68399392"/>
        <c:crosses val="autoZero"/>
        <c:crossBetween val="midCat"/>
      </c:valAx>
      <c:spPr>
        <a:noFill/>
        <a:ln>
          <a:noFill/>
        </a:ln>
        <a:effectLst/>
      </c:spPr>
    </c:plotArea>
    <c:plotVisOnly val="1"/>
    <c:dispBlanksAs val="zero"/>
    <c:showDLblsOverMax val="0"/>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s'!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Daily Wait Time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12</xdr:col>
      <xdr:colOff>566608</xdr:colOff>
      <xdr:row>4</xdr:row>
      <xdr:rowOff>42335</xdr:rowOff>
    </xdr:from>
    <xdr:to>
      <xdr:col>14</xdr:col>
      <xdr:colOff>489185</xdr:colOff>
      <xdr:row>14</xdr:row>
      <xdr:rowOff>145817</xdr:rowOff>
    </xdr:to>
    <mc:AlternateContent xmlns:mc="http://schemas.openxmlformats.org/markup-compatibility/2006" xmlns:a14="http://schemas.microsoft.com/office/drawing/2010/main">
      <mc:Choice Requires="a14">
        <xdr:graphicFrame macro="">
          <xdr:nvGraphicFramePr>
            <xdr:cNvPr id="2" name="Date (Month)">
              <a:extLst>
                <a:ext uri="{FF2B5EF4-FFF2-40B4-BE49-F238E27FC236}">
                  <a16:creationId xmlns:a16="http://schemas.microsoft.com/office/drawing/2014/main" id="{235BD7EF-977D-44B2-C202-21BD827C8567}"/>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4618543" y="763367"/>
              <a:ext cx="1135222" cy="19060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37782</xdr:colOff>
      <xdr:row>51</xdr:row>
      <xdr:rowOff>139290</xdr:rowOff>
    </xdr:from>
    <xdr:to>
      <xdr:col>4</xdr:col>
      <xdr:colOff>221225</xdr:colOff>
      <xdr:row>53</xdr:row>
      <xdr:rowOff>172063</xdr:rowOff>
    </xdr:to>
    <xdr:graphicFrame macro="">
      <xdr:nvGraphicFramePr>
        <xdr:cNvPr id="8" name="Chart 7">
          <a:extLst>
            <a:ext uri="{FF2B5EF4-FFF2-40B4-BE49-F238E27FC236}">
              <a16:creationId xmlns:a16="http://schemas.microsoft.com/office/drawing/2014/main" id="{3EB0B53A-F5E3-2E66-EA82-E20EDC014C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65851</xdr:colOff>
      <xdr:row>0</xdr:row>
      <xdr:rowOff>65852</xdr:rowOff>
    </xdr:from>
    <xdr:to>
      <xdr:col>5</xdr:col>
      <xdr:colOff>310446</xdr:colOff>
      <xdr:row>3</xdr:row>
      <xdr:rowOff>9408</xdr:rowOff>
    </xdr:to>
    <xdr:sp macro="" textlink="">
      <xdr:nvSpPr>
        <xdr:cNvPr id="2" name="Rectangle: Rounded Corners 1">
          <a:extLst>
            <a:ext uri="{FF2B5EF4-FFF2-40B4-BE49-F238E27FC236}">
              <a16:creationId xmlns:a16="http://schemas.microsoft.com/office/drawing/2014/main" id="{B657D7CC-F5FE-EDEF-6E0B-58C52E55A149}"/>
            </a:ext>
          </a:extLst>
        </xdr:cNvPr>
        <xdr:cNvSpPr/>
      </xdr:nvSpPr>
      <xdr:spPr>
        <a:xfrm>
          <a:off x="65851" y="65852"/>
          <a:ext cx="3302002" cy="493889"/>
        </a:xfrm>
        <a:prstGeom prst="roundRect">
          <a:avLst>
            <a:gd name="adj" fmla="val 1190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366889</xdr:colOff>
      <xdr:row>0</xdr:row>
      <xdr:rowOff>56444</xdr:rowOff>
    </xdr:from>
    <xdr:to>
      <xdr:col>7</xdr:col>
      <xdr:colOff>2</xdr:colOff>
      <xdr:row>2</xdr:row>
      <xdr:rowOff>183444</xdr:rowOff>
    </xdr:to>
    <xdr:sp macro="" textlink="">
      <xdr:nvSpPr>
        <xdr:cNvPr id="3" name="Rectangle: Rounded Corners 2">
          <a:extLst>
            <a:ext uri="{FF2B5EF4-FFF2-40B4-BE49-F238E27FC236}">
              <a16:creationId xmlns:a16="http://schemas.microsoft.com/office/drawing/2014/main" id="{B22B463B-A411-135D-CA88-2FDFB7F9EA50}"/>
            </a:ext>
          </a:extLst>
        </xdr:cNvPr>
        <xdr:cNvSpPr/>
      </xdr:nvSpPr>
      <xdr:spPr>
        <a:xfrm>
          <a:off x="3424296" y="56444"/>
          <a:ext cx="856076" cy="493889"/>
        </a:xfrm>
        <a:prstGeom prst="roundRect">
          <a:avLst>
            <a:gd name="adj" fmla="val 619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56444</xdr:colOff>
      <xdr:row>0</xdr:row>
      <xdr:rowOff>56443</xdr:rowOff>
    </xdr:from>
    <xdr:to>
      <xdr:col>9</xdr:col>
      <xdr:colOff>183445</xdr:colOff>
      <xdr:row>7</xdr:row>
      <xdr:rowOff>0</xdr:rowOff>
    </xdr:to>
    <xdr:sp macro="" textlink="">
      <xdr:nvSpPr>
        <xdr:cNvPr id="4" name="Rectangle: Rounded Corners 3">
          <a:extLst>
            <a:ext uri="{FF2B5EF4-FFF2-40B4-BE49-F238E27FC236}">
              <a16:creationId xmlns:a16="http://schemas.microsoft.com/office/drawing/2014/main" id="{80647D64-3C70-4241-24FB-A7DA46C468C1}"/>
            </a:ext>
          </a:extLst>
        </xdr:cNvPr>
        <xdr:cNvSpPr/>
      </xdr:nvSpPr>
      <xdr:spPr>
        <a:xfrm>
          <a:off x="4336814" y="56443"/>
          <a:ext cx="1349964" cy="1227668"/>
        </a:xfrm>
        <a:prstGeom prst="roundRect">
          <a:avLst>
            <a:gd name="adj" fmla="val 214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239888</xdr:colOff>
      <xdr:row>0</xdr:row>
      <xdr:rowOff>56443</xdr:rowOff>
    </xdr:from>
    <xdr:to>
      <xdr:col>11</xdr:col>
      <xdr:colOff>366889</xdr:colOff>
      <xdr:row>7</xdr:row>
      <xdr:rowOff>0</xdr:rowOff>
    </xdr:to>
    <xdr:sp macro="" textlink="">
      <xdr:nvSpPr>
        <xdr:cNvPr id="6" name="Rectangle: Rounded Corners 5">
          <a:extLst>
            <a:ext uri="{FF2B5EF4-FFF2-40B4-BE49-F238E27FC236}">
              <a16:creationId xmlns:a16="http://schemas.microsoft.com/office/drawing/2014/main" id="{F77B71C0-965C-00E9-07B2-A02CCB34497B}"/>
            </a:ext>
          </a:extLst>
        </xdr:cNvPr>
        <xdr:cNvSpPr/>
      </xdr:nvSpPr>
      <xdr:spPr>
        <a:xfrm>
          <a:off x="5743221" y="56443"/>
          <a:ext cx="1349964" cy="1227668"/>
        </a:xfrm>
        <a:prstGeom prst="roundRect">
          <a:avLst>
            <a:gd name="adj" fmla="val 214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65851</xdr:colOff>
      <xdr:row>3</xdr:row>
      <xdr:rowOff>56444</xdr:rowOff>
    </xdr:from>
    <xdr:to>
      <xdr:col>1</xdr:col>
      <xdr:colOff>117593</xdr:colOff>
      <xdr:row>15</xdr:row>
      <xdr:rowOff>131703</xdr:rowOff>
    </xdr:to>
    <xdr:sp macro="" textlink="">
      <xdr:nvSpPr>
        <xdr:cNvPr id="7" name="Rectangle: Rounded Corners 6">
          <a:extLst>
            <a:ext uri="{FF2B5EF4-FFF2-40B4-BE49-F238E27FC236}">
              <a16:creationId xmlns:a16="http://schemas.microsoft.com/office/drawing/2014/main" id="{3CAF3842-47B1-5427-587E-E89E49C8F51E}"/>
            </a:ext>
          </a:extLst>
        </xdr:cNvPr>
        <xdr:cNvSpPr/>
      </xdr:nvSpPr>
      <xdr:spPr>
        <a:xfrm>
          <a:off x="65851" y="606777"/>
          <a:ext cx="663223" cy="2276593"/>
        </a:xfrm>
        <a:prstGeom prst="roundRect">
          <a:avLst>
            <a:gd name="adj" fmla="val 609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169333</xdr:colOff>
      <xdr:row>3</xdr:row>
      <xdr:rowOff>56445</xdr:rowOff>
    </xdr:from>
    <xdr:to>
      <xdr:col>3</xdr:col>
      <xdr:colOff>66229</xdr:colOff>
      <xdr:row>7</xdr:row>
      <xdr:rowOff>4704</xdr:rowOff>
    </xdr:to>
    <xdr:sp macro="" textlink="">
      <xdr:nvSpPr>
        <xdr:cNvPr id="8" name="Rectangle: Rounded Corners 7">
          <a:extLst>
            <a:ext uri="{FF2B5EF4-FFF2-40B4-BE49-F238E27FC236}">
              <a16:creationId xmlns:a16="http://schemas.microsoft.com/office/drawing/2014/main" id="{19B15B75-465F-7EAE-AF56-2171E89B97AD}"/>
            </a:ext>
          </a:extLst>
        </xdr:cNvPr>
        <xdr:cNvSpPr/>
      </xdr:nvSpPr>
      <xdr:spPr>
        <a:xfrm>
          <a:off x="780814" y="606778"/>
          <a:ext cx="1119859" cy="682037"/>
        </a:xfrm>
        <a:prstGeom prst="roundRect">
          <a:avLst>
            <a:gd name="adj" fmla="val 609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136219</xdr:colOff>
      <xdr:row>3</xdr:row>
      <xdr:rowOff>56445</xdr:rowOff>
    </xdr:from>
    <xdr:to>
      <xdr:col>5</xdr:col>
      <xdr:colOff>33115</xdr:colOff>
      <xdr:row>7</xdr:row>
      <xdr:rowOff>4704</xdr:rowOff>
    </xdr:to>
    <xdr:sp macro="" textlink="">
      <xdr:nvSpPr>
        <xdr:cNvPr id="9" name="Rectangle: Rounded Corners 8">
          <a:extLst>
            <a:ext uri="{FF2B5EF4-FFF2-40B4-BE49-F238E27FC236}">
              <a16:creationId xmlns:a16="http://schemas.microsoft.com/office/drawing/2014/main" id="{3CADD095-880E-6C41-D984-74D25918E759}"/>
            </a:ext>
          </a:extLst>
        </xdr:cNvPr>
        <xdr:cNvSpPr/>
      </xdr:nvSpPr>
      <xdr:spPr>
        <a:xfrm>
          <a:off x="1970663" y="606778"/>
          <a:ext cx="1119859" cy="682037"/>
        </a:xfrm>
        <a:prstGeom prst="roundRect">
          <a:avLst>
            <a:gd name="adj" fmla="val 609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103104</xdr:colOff>
      <xdr:row>3</xdr:row>
      <xdr:rowOff>56445</xdr:rowOff>
    </xdr:from>
    <xdr:to>
      <xdr:col>6</xdr:col>
      <xdr:colOff>611481</xdr:colOff>
      <xdr:row>7</xdr:row>
      <xdr:rowOff>4704</xdr:rowOff>
    </xdr:to>
    <xdr:sp macro="" textlink="">
      <xdr:nvSpPr>
        <xdr:cNvPr id="10" name="Rectangle: Rounded Corners 9">
          <a:extLst>
            <a:ext uri="{FF2B5EF4-FFF2-40B4-BE49-F238E27FC236}">
              <a16:creationId xmlns:a16="http://schemas.microsoft.com/office/drawing/2014/main" id="{A10F3A69-B4C2-860D-AD9C-FCB725929A3B}"/>
            </a:ext>
          </a:extLst>
        </xdr:cNvPr>
        <xdr:cNvSpPr/>
      </xdr:nvSpPr>
      <xdr:spPr>
        <a:xfrm>
          <a:off x="3160511" y="606778"/>
          <a:ext cx="1119859" cy="682037"/>
        </a:xfrm>
        <a:prstGeom prst="roundRect">
          <a:avLst>
            <a:gd name="adj" fmla="val 609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174037</xdr:colOff>
      <xdr:row>9</xdr:row>
      <xdr:rowOff>117594</xdr:rowOff>
    </xdr:from>
    <xdr:to>
      <xdr:col>7</xdr:col>
      <xdr:colOff>14111</xdr:colOff>
      <xdr:row>15</xdr:row>
      <xdr:rowOff>136409</xdr:rowOff>
    </xdr:to>
    <xdr:sp macro="" textlink="">
      <xdr:nvSpPr>
        <xdr:cNvPr id="16" name="Rectangle: Rounded Corners 15">
          <a:extLst>
            <a:ext uri="{FF2B5EF4-FFF2-40B4-BE49-F238E27FC236}">
              <a16:creationId xmlns:a16="http://schemas.microsoft.com/office/drawing/2014/main" id="{762D242C-B010-2A3B-FDD1-F910C0152F43}"/>
            </a:ext>
          </a:extLst>
        </xdr:cNvPr>
        <xdr:cNvSpPr/>
      </xdr:nvSpPr>
      <xdr:spPr>
        <a:xfrm>
          <a:off x="785518" y="1768594"/>
          <a:ext cx="3508963" cy="1119482"/>
        </a:xfrm>
        <a:prstGeom prst="roundRect">
          <a:avLst>
            <a:gd name="adj" fmla="val 827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159925</xdr:colOff>
      <xdr:row>7</xdr:row>
      <xdr:rowOff>50822</xdr:rowOff>
    </xdr:from>
    <xdr:to>
      <xdr:col>6</xdr:col>
      <xdr:colOff>611480</xdr:colOff>
      <xdr:row>9</xdr:row>
      <xdr:rowOff>70556</xdr:rowOff>
    </xdr:to>
    <xdr:sp macro="" textlink="">
      <xdr:nvSpPr>
        <xdr:cNvPr id="17" name="Rectangle: Rounded Corners 16">
          <a:extLst>
            <a:ext uri="{FF2B5EF4-FFF2-40B4-BE49-F238E27FC236}">
              <a16:creationId xmlns:a16="http://schemas.microsoft.com/office/drawing/2014/main" id="{FCA19CEB-AC1A-9DAB-FB05-4A9D57D19941}"/>
            </a:ext>
          </a:extLst>
        </xdr:cNvPr>
        <xdr:cNvSpPr/>
      </xdr:nvSpPr>
      <xdr:spPr>
        <a:xfrm>
          <a:off x="771406" y="1334933"/>
          <a:ext cx="3508963" cy="386623"/>
        </a:xfrm>
        <a:prstGeom prst="roundRect">
          <a:avLst>
            <a:gd name="adj" fmla="val 1200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56444</xdr:colOff>
      <xdr:row>7</xdr:row>
      <xdr:rowOff>51739</xdr:rowOff>
    </xdr:from>
    <xdr:to>
      <xdr:col>11</xdr:col>
      <xdr:colOff>371592</xdr:colOff>
      <xdr:row>15</xdr:row>
      <xdr:rowOff>122295</xdr:rowOff>
    </xdr:to>
    <xdr:sp macro="" textlink="">
      <xdr:nvSpPr>
        <xdr:cNvPr id="31" name="Rectangle: Rounded Corners 30">
          <a:extLst>
            <a:ext uri="{FF2B5EF4-FFF2-40B4-BE49-F238E27FC236}">
              <a16:creationId xmlns:a16="http://schemas.microsoft.com/office/drawing/2014/main" id="{67E38FC6-5F86-FC6E-81C8-230F450B4AF4}"/>
            </a:ext>
          </a:extLst>
        </xdr:cNvPr>
        <xdr:cNvSpPr/>
      </xdr:nvSpPr>
      <xdr:spPr>
        <a:xfrm>
          <a:off x="4336814" y="1335850"/>
          <a:ext cx="2761074" cy="1538112"/>
        </a:xfrm>
        <a:prstGeom prst="roundRect">
          <a:avLst>
            <a:gd name="adj" fmla="val 214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1</xdr:col>
      <xdr:colOff>75257</xdr:colOff>
      <xdr:row>0</xdr:row>
      <xdr:rowOff>145820</xdr:rowOff>
    </xdr:from>
    <xdr:to>
      <xdr:col>5</xdr:col>
      <xdr:colOff>122293</xdr:colOff>
      <xdr:row>2</xdr:row>
      <xdr:rowOff>65856</xdr:rowOff>
    </xdr:to>
    <xdr:sp macro="" textlink="">
      <xdr:nvSpPr>
        <xdr:cNvPr id="37" name="TextBox 36">
          <a:extLst>
            <a:ext uri="{FF2B5EF4-FFF2-40B4-BE49-F238E27FC236}">
              <a16:creationId xmlns:a16="http://schemas.microsoft.com/office/drawing/2014/main" id="{1FE35BA6-09BA-BF15-E7A9-D57230BC2BA4}"/>
            </a:ext>
          </a:extLst>
        </xdr:cNvPr>
        <xdr:cNvSpPr txBox="1"/>
      </xdr:nvSpPr>
      <xdr:spPr>
        <a:xfrm>
          <a:off x="686738" y="145820"/>
          <a:ext cx="2492962" cy="286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a:t>Hospital Emergency Room Dashboard</a:t>
          </a:r>
        </a:p>
      </xdr:txBody>
    </xdr:sp>
    <xdr:clientData/>
  </xdr:twoCellAnchor>
  <xdr:twoCellAnchor editAs="oneCell">
    <xdr:from>
      <xdr:col>0</xdr:col>
      <xdr:colOff>126999</xdr:colOff>
      <xdr:row>0</xdr:row>
      <xdr:rowOff>117591</xdr:rowOff>
    </xdr:from>
    <xdr:to>
      <xdr:col>1</xdr:col>
      <xdr:colOff>28223</xdr:colOff>
      <xdr:row>2</xdr:row>
      <xdr:rowOff>145815</xdr:rowOff>
    </xdr:to>
    <xdr:pic>
      <xdr:nvPicPr>
        <xdr:cNvPr id="39" name="Picture 38">
          <a:extLst>
            <a:ext uri="{FF2B5EF4-FFF2-40B4-BE49-F238E27FC236}">
              <a16:creationId xmlns:a16="http://schemas.microsoft.com/office/drawing/2014/main" id="{4E75376F-05FE-3B96-3FB6-F8487613E1A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3724" t="12727" r="22772" b="17273"/>
        <a:stretch>
          <a:fillRect/>
        </a:stretch>
      </xdr:blipFill>
      <xdr:spPr>
        <a:xfrm>
          <a:off x="126999" y="117591"/>
          <a:ext cx="512705" cy="395113"/>
        </a:xfrm>
        <a:prstGeom prst="rect">
          <a:avLst/>
        </a:prstGeom>
      </xdr:spPr>
    </xdr:pic>
    <xdr:clientData/>
  </xdr:twoCellAnchor>
  <xdr:twoCellAnchor editAs="absolute">
    <xdr:from>
      <xdr:col>2</xdr:col>
      <xdr:colOff>91251</xdr:colOff>
      <xdr:row>1</xdr:row>
      <xdr:rowOff>152406</xdr:rowOff>
    </xdr:from>
    <xdr:to>
      <xdr:col>4</xdr:col>
      <xdr:colOff>28223</xdr:colOff>
      <xdr:row>2</xdr:row>
      <xdr:rowOff>136407</xdr:rowOff>
    </xdr:to>
    <xdr:sp macro="" textlink="">
      <xdr:nvSpPr>
        <xdr:cNvPr id="40" name="TextBox 39">
          <a:extLst>
            <a:ext uri="{FF2B5EF4-FFF2-40B4-BE49-F238E27FC236}">
              <a16:creationId xmlns:a16="http://schemas.microsoft.com/office/drawing/2014/main" id="{58AEFA61-CE02-75A5-1193-6401314609C0}"/>
            </a:ext>
          </a:extLst>
        </xdr:cNvPr>
        <xdr:cNvSpPr txBox="1"/>
      </xdr:nvSpPr>
      <xdr:spPr>
        <a:xfrm>
          <a:off x="1314214" y="335850"/>
          <a:ext cx="1159935" cy="167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Monthly</a:t>
          </a:r>
          <a:r>
            <a:rPr lang="en-IN" sz="900" baseline="0"/>
            <a:t> Report</a:t>
          </a:r>
          <a:endParaRPr lang="en-IN" sz="900"/>
        </a:p>
      </xdr:txBody>
    </xdr:sp>
    <xdr:clientData/>
  </xdr:twoCellAnchor>
  <xdr:twoCellAnchor editAs="absolute">
    <xdr:from>
      <xdr:col>1</xdr:col>
      <xdr:colOff>164630</xdr:colOff>
      <xdr:row>4</xdr:row>
      <xdr:rowOff>130765</xdr:rowOff>
    </xdr:from>
    <xdr:to>
      <xdr:col>3</xdr:col>
      <xdr:colOff>65853</xdr:colOff>
      <xdr:row>5</xdr:row>
      <xdr:rowOff>114767</xdr:rowOff>
    </xdr:to>
    <xdr:sp macro="" textlink="">
      <xdr:nvSpPr>
        <xdr:cNvPr id="44" name="TextBox 43">
          <a:extLst>
            <a:ext uri="{FF2B5EF4-FFF2-40B4-BE49-F238E27FC236}">
              <a16:creationId xmlns:a16="http://schemas.microsoft.com/office/drawing/2014/main" id="{6EE9C2D7-021F-5A07-67E8-21B166B4DCB7}"/>
            </a:ext>
          </a:extLst>
        </xdr:cNvPr>
        <xdr:cNvSpPr txBox="1"/>
      </xdr:nvSpPr>
      <xdr:spPr>
        <a:xfrm>
          <a:off x="776111" y="864543"/>
          <a:ext cx="1124186" cy="167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No.</a:t>
          </a:r>
          <a:r>
            <a:rPr lang="en-IN" sz="800" baseline="0"/>
            <a:t> of Patient</a:t>
          </a:r>
          <a:endParaRPr lang="en-IN" sz="800"/>
        </a:p>
      </xdr:txBody>
    </xdr:sp>
    <xdr:clientData/>
  </xdr:twoCellAnchor>
  <xdr:twoCellAnchor editAs="absolute">
    <xdr:from>
      <xdr:col>1</xdr:col>
      <xdr:colOff>164630</xdr:colOff>
      <xdr:row>3</xdr:row>
      <xdr:rowOff>144878</xdr:rowOff>
    </xdr:from>
    <xdr:to>
      <xdr:col>3</xdr:col>
      <xdr:colOff>65853</xdr:colOff>
      <xdr:row>4</xdr:row>
      <xdr:rowOff>128879</xdr:rowOff>
    </xdr:to>
    <xdr:sp macro="" textlink="'Pivot Report'!A5">
      <xdr:nvSpPr>
        <xdr:cNvPr id="46" name="TextBox 45">
          <a:extLst>
            <a:ext uri="{FF2B5EF4-FFF2-40B4-BE49-F238E27FC236}">
              <a16:creationId xmlns:a16="http://schemas.microsoft.com/office/drawing/2014/main" id="{154A98F5-9797-6A60-6B79-048C4BAB7EA5}"/>
            </a:ext>
          </a:extLst>
        </xdr:cNvPr>
        <xdr:cNvSpPr txBox="1"/>
      </xdr:nvSpPr>
      <xdr:spPr>
        <a:xfrm>
          <a:off x="776111" y="695211"/>
          <a:ext cx="1124186" cy="167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05A207C2-8ECA-461B-9F83-2ACD9E233011}" type="TxLink">
            <a:rPr lang="en-US" sz="1100" b="1" i="0" u="none" strike="noStrike">
              <a:solidFill>
                <a:srgbClr val="000000"/>
              </a:solidFill>
              <a:latin typeface="Calibri"/>
              <a:ea typeface="Calibri"/>
              <a:cs typeface="Calibri"/>
            </a:rPr>
            <a:pPr algn="ctr"/>
            <a:t>513</a:t>
          </a:fld>
          <a:endParaRPr lang="en-US" b="1"/>
        </a:p>
      </xdr:txBody>
    </xdr:sp>
    <xdr:clientData/>
  </xdr:twoCellAnchor>
  <xdr:twoCellAnchor editAs="absolute">
    <xdr:from>
      <xdr:col>3</xdr:col>
      <xdr:colOff>136408</xdr:colOff>
      <xdr:row>4</xdr:row>
      <xdr:rowOff>130765</xdr:rowOff>
    </xdr:from>
    <xdr:to>
      <xdr:col>5</xdr:col>
      <xdr:colOff>37631</xdr:colOff>
      <xdr:row>5</xdr:row>
      <xdr:rowOff>114767</xdr:rowOff>
    </xdr:to>
    <xdr:sp macro="" textlink="">
      <xdr:nvSpPr>
        <xdr:cNvPr id="55" name="TextBox 54">
          <a:extLst>
            <a:ext uri="{FF2B5EF4-FFF2-40B4-BE49-F238E27FC236}">
              <a16:creationId xmlns:a16="http://schemas.microsoft.com/office/drawing/2014/main" id="{16A2844E-B99E-737D-BB9B-49C624FA3B7F}"/>
            </a:ext>
          </a:extLst>
        </xdr:cNvPr>
        <xdr:cNvSpPr txBox="1"/>
      </xdr:nvSpPr>
      <xdr:spPr>
        <a:xfrm>
          <a:off x="1970852" y="864543"/>
          <a:ext cx="1124186" cy="167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Average</a:t>
          </a:r>
          <a:r>
            <a:rPr lang="en-IN" sz="800" baseline="0"/>
            <a:t> Wait Time</a:t>
          </a:r>
          <a:endParaRPr lang="en-IN" sz="800"/>
        </a:p>
      </xdr:txBody>
    </xdr:sp>
    <xdr:clientData/>
  </xdr:twoCellAnchor>
  <xdr:twoCellAnchor editAs="absolute">
    <xdr:from>
      <xdr:col>3</xdr:col>
      <xdr:colOff>136408</xdr:colOff>
      <xdr:row>3</xdr:row>
      <xdr:rowOff>144878</xdr:rowOff>
    </xdr:from>
    <xdr:to>
      <xdr:col>5</xdr:col>
      <xdr:colOff>37631</xdr:colOff>
      <xdr:row>4</xdr:row>
      <xdr:rowOff>128879</xdr:rowOff>
    </xdr:to>
    <xdr:sp macro="" textlink="'Pivot Report'!A9">
      <xdr:nvSpPr>
        <xdr:cNvPr id="56" name="TextBox 55">
          <a:extLst>
            <a:ext uri="{FF2B5EF4-FFF2-40B4-BE49-F238E27FC236}">
              <a16:creationId xmlns:a16="http://schemas.microsoft.com/office/drawing/2014/main" id="{C2B3D660-38B8-C1F0-D2B1-CF9860405455}"/>
            </a:ext>
          </a:extLst>
        </xdr:cNvPr>
        <xdr:cNvSpPr txBox="1"/>
      </xdr:nvSpPr>
      <xdr:spPr>
        <a:xfrm>
          <a:off x="1970852" y="695211"/>
          <a:ext cx="1124186" cy="167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48E1CE07-BF3C-488E-A949-D58F6FEEA9D6}" type="TxLink">
            <a:rPr lang="en-US" sz="1100" b="1" i="0" u="none" strike="noStrike">
              <a:solidFill>
                <a:srgbClr val="000000"/>
              </a:solidFill>
              <a:latin typeface="Calibri"/>
              <a:ea typeface="Calibri"/>
              <a:cs typeface="Calibri"/>
            </a:rPr>
            <a:pPr algn="ctr"/>
            <a:t>36.32</a:t>
          </a:fld>
          <a:endParaRPr lang="en-US" b="1"/>
        </a:p>
      </xdr:txBody>
    </xdr:sp>
    <xdr:clientData/>
  </xdr:twoCellAnchor>
  <xdr:twoCellAnchor editAs="absolute">
    <xdr:from>
      <xdr:col>5</xdr:col>
      <xdr:colOff>108186</xdr:colOff>
      <xdr:row>4</xdr:row>
      <xdr:rowOff>130765</xdr:rowOff>
    </xdr:from>
    <xdr:to>
      <xdr:col>7</xdr:col>
      <xdr:colOff>9409</xdr:colOff>
      <xdr:row>5</xdr:row>
      <xdr:rowOff>114767</xdr:rowOff>
    </xdr:to>
    <xdr:sp macro="" textlink="">
      <xdr:nvSpPr>
        <xdr:cNvPr id="57" name="TextBox 56">
          <a:extLst>
            <a:ext uri="{FF2B5EF4-FFF2-40B4-BE49-F238E27FC236}">
              <a16:creationId xmlns:a16="http://schemas.microsoft.com/office/drawing/2014/main" id="{86E8C520-C9F3-D657-F1A7-5566D8B14982}"/>
            </a:ext>
          </a:extLst>
        </xdr:cNvPr>
        <xdr:cNvSpPr txBox="1"/>
      </xdr:nvSpPr>
      <xdr:spPr>
        <a:xfrm>
          <a:off x="3165593" y="864543"/>
          <a:ext cx="1124186" cy="167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Patient Satisfaction</a:t>
          </a:r>
          <a:r>
            <a:rPr lang="en-IN" sz="800" baseline="0"/>
            <a:t> Score</a:t>
          </a:r>
          <a:endParaRPr lang="en-IN" sz="800"/>
        </a:p>
      </xdr:txBody>
    </xdr:sp>
    <xdr:clientData/>
  </xdr:twoCellAnchor>
  <xdr:twoCellAnchor editAs="absolute">
    <xdr:from>
      <xdr:col>5</xdr:col>
      <xdr:colOff>108186</xdr:colOff>
      <xdr:row>3</xdr:row>
      <xdr:rowOff>144878</xdr:rowOff>
    </xdr:from>
    <xdr:to>
      <xdr:col>7</xdr:col>
      <xdr:colOff>9409</xdr:colOff>
      <xdr:row>4</xdr:row>
      <xdr:rowOff>128879</xdr:rowOff>
    </xdr:to>
    <xdr:sp macro="" textlink="'Pivot Report'!A12">
      <xdr:nvSpPr>
        <xdr:cNvPr id="58" name="TextBox 57">
          <a:extLst>
            <a:ext uri="{FF2B5EF4-FFF2-40B4-BE49-F238E27FC236}">
              <a16:creationId xmlns:a16="http://schemas.microsoft.com/office/drawing/2014/main" id="{5AE812A4-FBC6-9FCE-48E4-3508D663030F}"/>
            </a:ext>
          </a:extLst>
        </xdr:cNvPr>
        <xdr:cNvSpPr txBox="1"/>
      </xdr:nvSpPr>
      <xdr:spPr>
        <a:xfrm>
          <a:off x="3165593" y="695211"/>
          <a:ext cx="1124186" cy="167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7AD32E8A-D00D-4FE4-9BD6-B32A4709201C}" type="TxLink">
            <a:rPr lang="en-US" sz="1100" b="1" i="0" u="none" strike="noStrike">
              <a:solidFill>
                <a:srgbClr val="000000"/>
              </a:solidFill>
              <a:latin typeface="Calibri"/>
              <a:ea typeface="Calibri"/>
              <a:cs typeface="Calibri"/>
            </a:rPr>
            <a:pPr algn="ctr"/>
            <a:t>4.96</a:t>
          </a:fld>
          <a:endParaRPr lang="en-US" b="1"/>
        </a:p>
      </xdr:txBody>
    </xdr:sp>
    <xdr:clientData/>
  </xdr:twoCellAnchor>
  <xdr:twoCellAnchor editAs="oneCell">
    <xdr:from>
      <xdr:col>2</xdr:col>
      <xdr:colOff>446852</xdr:colOff>
      <xdr:row>3</xdr:row>
      <xdr:rowOff>86549</xdr:rowOff>
    </xdr:from>
    <xdr:to>
      <xdr:col>3</xdr:col>
      <xdr:colOff>42334</xdr:colOff>
      <xdr:row>4</xdr:row>
      <xdr:rowOff>110067</xdr:rowOff>
    </xdr:to>
    <xdr:pic>
      <xdr:nvPicPr>
        <xdr:cNvPr id="60" name="Graphic 59" descr="Male profile with solid fill">
          <a:extLst>
            <a:ext uri="{FF2B5EF4-FFF2-40B4-BE49-F238E27FC236}">
              <a16:creationId xmlns:a16="http://schemas.microsoft.com/office/drawing/2014/main" id="{C071C86A-D403-709A-9B74-DF747CCB828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69815" y="636882"/>
          <a:ext cx="206963" cy="206963"/>
        </a:xfrm>
        <a:prstGeom prst="rect">
          <a:avLst/>
        </a:prstGeom>
      </xdr:spPr>
    </xdr:pic>
    <xdr:clientData/>
  </xdr:twoCellAnchor>
  <xdr:twoCellAnchor editAs="oneCell">
    <xdr:from>
      <xdr:col>4</xdr:col>
      <xdr:colOff>422188</xdr:colOff>
      <xdr:row>3</xdr:row>
      <xdr:rowOff>79964</xdr:rowOff>
    </xdr:from>
    <xdr:to>
      <xdr:col>5</xdr:col>
      <xdr:colOff>11288</xdr:colOff>
      <xdr:row>4</xdr:row>
      <xdr:rowOff>96618</xdr:rowOff>
    </xdr:to>
    <xdr:pic>
      <xdr:nvPicPr>
        <xdr:cNvPr id="64" name="Graphic 63" descr="Hourglass Finished with solid fill">
          <a:extLst>
            <a:ext uri="{FF2B5EF4-FFF2-40B4-BE49-F238E27FC236}">
              <a16:creationId xmlns:a16="http://schemas.microsoft.com/office/drawing/2014/main" id="{78BA6440-CCAC-D28A-2087-9C9582DFF6F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852350" y="636018"/>
          <a:ext cx="196641" cy="202005"/>
        </a:xfrm>
        <a:prstGeom prst="rect">
          <a:avLst/>
        </a:prstGeom>
      </xdr:spPr>
    </xdr:pic>
    <xdr:clientData/>
  </xdr:twoCellAnchor>
  <xdr:twoCellAnchor editAs="oneCell">
    <xdr:from>
      <xdr:col>6</xdr:col>
      <xdr:colOff>386149</xdr:colOff>
      <xdr:row>3</xdr:row>
      <xdr:rowOff>75261</xdr:rowOff>
    </xdr:from>
    <xdr:to>
      <xdr:col>6</xdr:col>
      <xdr:colOff>593064</xdr:colOff>
      <xdr:row>4</xdr:row>
      <xdr:rowOff>98492</xdr:rowOff>
    </xdr:to>
    <xdr:pic>
      <xdr:nvPicPr>
        <xdr:cNvPr id="66" name="Graphic 65" descr="Stars with solid fill">
          <a:extLst>
            <a:ext uri="{FF2B5EF4-FFF2-40B4-BE49-F238E27FC236}">
              <a16:creationId xmlns:a16="http://schemas.microsoft.com/office/drawing/2014/main" id="{3FF7C672-E011-FF40-728E-91B82DF3808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031392" y="631315"/>
          <a:ext cx="206915" cy="208582"/>
        </a:xfrm>
        <a:prstGeom prst="rect">
          <a:avLst/>
        </a:prstGeom>
      </xdr:spPr>
    </xdr:pic>
    <xdr:clientData/>
  </xdr:twoCellAnchor>
  <xdr:twoCellAnchor editAs="oneCell">
    <xdr:from>
      <xdr:col>0</xdr:col>
      <xdr:colOff>75259</xdr:colOff>
      <xdr:row>3</xdr:row>
      <xdr:rowOff>79962</xdr:rowOff>
    </xdr:from>
    <xdr:to>
      <xdr:col>1</xdr:col>
      <xdr:colOff>108187</xdr:colOff>
      <xdr:row>15</xdr:row>
      <xdr:rowOff>126999</xdr:rowOff>
    </xdr:to>
    <mc:AlternateContent xmlns:mc="http://schemas.openxmlformats.org/markup-compatibility/2006" xmlns:a14="http://schemas.microsoft.com/office/drawing/2010/main">
      <mc:Choice Requires="a14">
        <xdr:graphicFrame macro="">
          <xdr:nvGraphicFramePr>
            <xdr:cNvPr id="67" name="Date (Month) 1">
              <a:extLst>
                <a:ext uri="{FF2B5EF4-FFF2-40B4-BE49-F238E27FC236}">
                  <a16:creationId xmlns:a16="http://schemas.microsoft.com/office/drawing/2014/main" id="{D141B9D3-D5A9-44B7-8ED2-9488DAE6F88E}"/>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75259" y="630295"/>
              <a:ext cx="644409" cy="22483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75259</xdr:colOff>
      <xdr:row>5</xdr:row>
      <xdr:rowOff>112892</xdr:rowOff>
    </xdr:from>
    <xdr:to>
      <xdr:col>3</xdr:col>
      <xdr:colOff>159925</xdr:colOff>
      <xdr:row>7</xdr:row>
      <xdr:rowOff>150520</xdr:rowOff>
    </xdr:to>
    <xdr:graphicFrame macro="">
      <xdr:nvGraphicFramePr>
        <xdr:cNvPr id="68" name="Chart 67">
          <a:hlinkClick xmlns:r="http://schemas.openxmlformats.org/officeDocument/2006/relationships" r:id="rId8"/>
          <a:extLst>
            <a:ext uri="{FF2B5EF4-FFF2-40B4-BE49-F238E27FC236}">
              <a16:creationId xmlns:a16="http://schemas.microsoft.com/office/drawing/2014/main" id="{D1B0BEAC-21E3-4603-993E-3550385260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122296</xdr:colOff>
      <xdr:row>5</xdr:row>
      <xdr:rowOff>145814</xdr:rowOff>
    </xdr:from>
    <xdr:to>
      <xdr:col>5</xdr:col>
      <xdr:colOff>37630</xdr:colOff>
      <xdr:row>7</xdr:row>
      <xdr:rowOff>9406</xdr:rowOff>
    </xdr:to>
    <xdr:graphicFrame macro="">
      <xdr:nvGraphicFramePr>
        <xdr:cNvPr id="70" name="Chart 69">
          <a:hlinkClick xmlns:r="http://schemas.openxmlformats.org/officeDocument/2006/relationships" r:id="rId10"/>
          <a:extLst>
            <a:ext uri="{FF2B5EF4-FFF2-40B4-BE49-F238E27FC236}">
              <a16:creationId xmlns:a16="http://schemas.microsoft.com/office/drawing/2014/main" id="{92DE294E-00A2-4887-9665-EB222F2D80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103482</xdr:colOff>
      <xdr:row>3</xdr:row>
      <xdr:rowOff>37630</xdr:rowOff>
    </xdr:from>
    <xdr:to>
      <xdr:col>6</xdr:col>
      <xdr:colOff>611481</xdr:colOff>
      <xdr:row>7</xdr:row>
      <xdr:rowOff>4706</xdr:rowOff>
    </xdr:to>
    <xdr:graphicFrame macro="">
      <xdr:nvGraphicFramePr>
        <xdr:cNvPr id="71" name="Chart 70">
          <a:hlinkClick xmlns:r="http://schemas.openxmlformats.org/officeDocument/2006/relationships" r:id="rId12"/>
          <a:extLst>
            <a:ext uri="{FF2B5EF4-FFF2-40B4-BE49-F238E27FC236}">
              <a16:creationId xmlns:a16="http://schemas.microsoft.com/office/drawing/2014/main" id="{49AD8ED5-F616-4F7A-87B2-2893E26905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164629</xdr:colOff>
          <xdr:row>7</xdr:row>
          <xdr:rowOff>54700</xdr:rowOff>
        </xdr:from>
        <xdr:to>
          <xdr:col>7</xdr:col>
          <xdr:colOff>4704</xdr:colOff>
          <xdr:row>9</xdr:row>
          <xdr:rowOff>61149</xdr:rowOff>
        </xdr:to>
        <xdr:pic>
          <xdr:nvPicPr>
            <xdr:cNvPr id="93" name="Picture 92">
              <a:extLst>
                <a:ext uri="{FF2B5EF4-FFF2-40B4-BE49-F238E27FC236}">
                  <a16:creationId xmlns:a16="http://schemas.microsoft.com/office/drawing/2014/main" id="{8B57E12E-DB48-B794-B065-3EEC5E055DB1}"/>
                </a:ext>
              </a:extLst>
            </xdr:cNvPr>
            <xdr:cNvPicPr>
              <a:picLocks noChangeAspect="1" noChangeArrowheads="1"/>
              <a:extLst>
                <a:ext uri="{84589F7E-364E-4C9E-8A38-B11213B215E9}">
                  <a14:cameraTool cellRange="'Pivot Report'!$A$52:$D$54" spid="_x0000_s2079"/>
                </a:ext>
              </a:extLst>
            </xdr:cNvPicPr>
          </xdr:nvPicPr>
          <xdr:blipFill>
            <a:blip xmlns:r="http://schemas.openxmlformats.org/officeDocument/2006/relationships" r:embed="rId14"/>
            <a:srcRect/>
            <a:stretch>
              <a:fillRect/>
            </a:stretch>
          </xdr:blipFill>
          <xdr:spPr bwMode="auto">
            <a:xfrm>
              <a:off x="776110" y="1338811"/>
              <a:ext cx="3508964" cy="373338"/>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164630</xdr:colOff>
      <xdr:row>9</xdr:row>
      <xdr:rowOff>122296</xdr:rowOff>
    </xdr:from>
    <xdr:to>
      <xdr:col>7</xdr:col>
      <xdr:colOff>14111</xdr:colOff>
      <xdr:row>15</xdr:row>
      <xdr:rowOff>133898</xdr:rowOff>
    </xdr:to>
    <xdr:graphicFrame macro="">
      <xdr:nvGraphicFramePr>
        <xdr:cNvPr id="94" name="Chart 93">
          <a:extLst>
            <a:ext uri="{FF2B5EF4-FFF2-40B4-BE49-F238E27FC236}">
              <a16:creationId xmlns:a16="http://schemas.microsoft.com/office/drawing/2014/main" id="{19174682-EEA1-4A44-AAC2-831FFCE9ED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2</xdr:col>
      <xdr:colOff>554099</xdr:colOff>
      <xdr:row>14</xdr:row>
      <xdr:rowOff>148640</xdr:rowOff>
    </xdr:from>
    <xdr:to>
      <xdr:col>4</xdr:col>
      <xdr:colOff>455322</xdr:colOff>
      <xdr:row>15</xdr:row>
      <xdr:rowOff>105364</xdr:rowOff>
    </xdr:to>
    <xdr:sp macro="" textlink="">
      <xdr:nvSpPr>
        <xdr:cNvPr id="5" name="TextBox 4">
          <a:extLst>
            <a:ext uri="{FF2B5EF4-FFF2-40B4-BE49-F238E27FC236}">
              <a16:creationId xmlns:a16="http://schemas.microsoft.com/office/drawing/2014/main" id="{E81E4084-0796-FFBE-D974-7ABC05A18FDF}"/>
            </a:ext>
          </a:extLst>
        </xdr:cNvPr>
        <xdr:cNvSpPr txBox="1"/>
      </xdr:nvSpPr>
      <xdr:spPr>
        <a:xfrm>
          <a:off x="1777062" y="2716862"/>
          <a:ext cx="1124186" cy="140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a:t>No.</a:t>
          </a:r>
          <a:r>
            <a:rPr lang="en-IN" sz="700" baseline="0"/>
            <a:t> of Patient By Age Group</a:t>
          </a:r>
          <a:endParaRPr lang="en-IN" sz="700"/>
        </a:p>
      </xdr:txBody>
    </xdr:sp>
    <xdr:clientData/>
  </xdr:twoCellAnchor>
  <xdr:twoCellAnchor>
    <xdr:from>
      <xdr:col>7</xdr:col>
      <xdr:colOff>56445</xdr:colOff>
      <xdr:row>0</xdr:row>
      <xdr:rowOff>65850</xdr:rowOff>
    </xdr:from>
    <xdr:to>
      <xdr:col>9</xdr:col>
      <xdr:colOff>164630</xdr:colOff>
      <xdr:row>6</xdr:row>
      <xdr:rowOff>164629</xdr:rowOff>
    </xdr:to>
    <xdr:graphicFrame macro="">
      <xdr:nvGraphicFramePr>
        <xdr:cNvPr id="11" name="Chart 10">
          <a:extLst>
            <a:ext uri="{FF2B5EF4-FFF2-40B4-BE49-F238E27FC236}">
              <a16:creationId xmlns:a16="http://schemas.microsoft.com/office/drawing/2014/main" id="{1D6ABDE5-120F-4481-824B-2F6AAB5643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7</xdr:col>
      <xdr:colOff>142055</xdr:colOff>
      <xdr:row>6</xdr:row>
      <xdr:rowOff>37631</xdr:rowOff>
    </xdr:from>
    <xdr:to>
      <xdr:col>9</xdr:col>
      <xdr:colOff>43278</xdr:colOff>
      <xdr:row>6</xdr:row>
      <xdr:rowOff>177800</xdr:rowOff>
    </xdr:to>
    <xdr:sp macro="" textlink="">
      <xdr:nvSpPr>
        <xdr:cNvPr id="12" name="TextBox 11">
          <a:extLst>
            <a:ext uri="{FF2B5EF4-FFF2-40B4-BE49-F238E27FC236}">
              <a16:creationId xmlns:a16="http://schemas.microsoft.com/office/drawing/2014/main" id="{C59930CB-259C-2E2D-2E9C-50CE03C122C2}"/>
            </a:ext>
          </a:extLst>
        </xdr:cNvPr>
        <xdr:cNvSpPr txBox="1"/>
      </xdr:nvSpPr>
      <xdr:spPr>
        <a:xfrm>
          <a:off x="4422425" y="1138298"/>
          <a:ext cx="1124186" cy="140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a:t>Patient</a:t>
          </a:r>
          <a:r>
            <a:rPr lang="en-IN" sz="700" baseline="0"/>
            <a:t> Attend Status</a:t>
          </a:r>
          <a:endParaRPr lang="en-IN" sz="700"/>
        </a:p>
      </xdr:txBody>
    </xdr:sp>
    <xdr:clientData/>
  </xdr:twoCellAnchor>
  <xdr:twoCellAnchor>
    <xdr:from>
      <xdr:col>9</xdr:col>
      <xdr:colOff>343371</xdr:colOff>
      <xdr:row>0</xdr:row>
      <xdr:rowOff>70555</xdr:rowOff>
    </xdr:from>
    <xdr:to>
      <xdr:col>11</xdr:col>
      <xdr:colOff>235185</xdr:colOff>
      <xdr:row>6</xdr:row>
      <xdr:rowOff>164629</xdr:rowOff>
    </xdr:to>
    <xdr:graphicFrame macro="">
      <xdr:nvGraphicFramePr>
        <xdr:cNvPr id="13" name="Chart 12">
          <a:extLst>
            <a:ext uri="{FF2B5EF4-FFF2-40B4-BE49-F238E27FC236}">
              <a16:creationId xmlns:a16="http://schemas.microsoft.com/office/drawing/2014/main" id="{45CE7822-7A97-4416-A8B1-B25605F82A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9</xdr:col>
      <xdr:colOff>346194</xdr:colOff>
      <xdr:row>6</xdr:row>
      <xdr:rowOff>39513</xdr:rowOff>
    </xdr:from>
    <xdr:to>
      <xdr:col>11</xdr:col>
      <xdr:colOff>247417</xdr:colOff>
      <xdr:row>6</xdr:row>
      <xdr:rowOff>179682</xdr:rowOff>
    </xdr:to>
    <xdr:sp macro="" textlink="">
      <xdr:nvSpPr>
        <xdr:cNvPr id="14" name="TextBox 13">
          <a:extLst>
            <a:ext uri="{FF2B5EF4-FFF2-40B4-BE49-F238E27FC236}">
              <a16:creationId xmlns:a16="http://schemas.microsoft.com/office/drawing/2014/main" id="{55CB3021-B910-B143-F402-A2007FC83A7C}"/>
            </a:ext>
          </a:extLst>
        </xdr:cNvPr>
        <xdr:cNvSpPr txBox="1"/>
      </xdr:nvSpPr>
      <xdr:spPr>
        <a:xfrm>
          <a:off x="5849527" y="1140180"/>
          <a:ext cx="1124186" cy="140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a:t>Gender</a:t>
          </a:r>
          <a:r>
            <a:rPr lang="en-IN" sz="700" baseline="0"/>
            <a:t> wise Analysis</a:t>
          </a:r>
          <a:endParaRPr lang="en-IN" sz="700"/>
        </a:p>
      </xdr:txBody>
    </xdr:sp>
    <xdr:clientData/>
  </xdr:twoCellAnchor>
  <xdr:twoCellAnchor>
    <xdr:from>
      <xdr:col>7</xdr:col>
      <xdr:colOff>61149</xdr:colOff>
      <xdr:row>7</xdr:row>
      <xdr:rowOff>65853</xdr:rowOff>
    </xdr:from>
    <xdr:to>
      <xdr:col>11</xdr:col>
      <xdr:colOff>357482</xdr:colOff>
      <xdr:row>15</xdr:row>
      <xdr:rowOff>103481</xdr:rowOff>
    </xdr:to>
    <xdr:graphicFrame macro="">
      <xdr:nvGraphicFramePr>
        <xdr:cNvPr id="15" name="Chart 14">
          <a:extLst>
            <a:ext uri="{FF2B5EF4-FFF2-40B4-BE49-F238E27FC236}">
              <a16:creationId xmlns:a16="http://schemas.microsoft.com/office/drawing/2014/main" id="{B3D76FA8-DAA0-4749-8B1A-0666A5F1F6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8</xdr:col>
      <xdr:colOff>268113</xdr:colOff>
      <xdr:row>14</xdr:row>
      <xdr:rowOff>149581</xdr:rowOff>
    </xdr:from>
    <xdr:to>
      <xdr:col>10</xdr:col>
      <xdr:colOff>442148</xdr:colOff>
      <xdr:row>15</xdr:row>
      <xdr:rowOff>89370</xdr:rowOff>
    </xdr:to>
    <xdr:sp macro="" textlink="">
      <xdr:nvSpPr>
        <xdr:cNvPr id="18" name="TextBox 17">
          <a:extLst>
            <a:ext uri="{FF2B5EF4-FFF2-40B4-BE49-F238E27FC236}">
              <a16:creationId xmlns:a16="http://schemas.microsoft.com/office/drawing/2014/main" id="{E69F9EAB-CF07-7704-EF09-5926436DD246}"/>
            </a:ext>
          </a:extLst>
        </xdr:cNvPr>
        <xdr:cNvSpPr txBox="1"/>
      </xdr:nvSpPr>
      <xdr:spPr>
        <a:xfrm>
          <a:off x="5159965" y="2717803"/>
          <a:ext cx="1396998" cy="1232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a:t>N</a:t>
          </a:r>
          <a:r>
            <a:rPr lang="en-IN" sz="700" baseline="0"/>
            <a:t>o. of Patient by Department Referral</a:t>
          </a:r>
          <a:endParaRPr lang="en-IN" sz="700"/>
        </a:p>
      </xdr:txBody>
    </xdr:sp>
    <xdr:clientData/>
  </xdr:twoCellAnchor>
  <xdr:twoCellAnchor editAs="oneCell">
    <xdr:from>
      <xdr:col>5</xdr:col>
      <xdr:colOff>375844</xdr:colOff>
      <xdr:row>0</xdr:row>
      <xdr:rowOff>55541</xdr:rowOff>
    </xdr:from>
    <xdr:to>
      <xdr:col>6</xdr:col>
      <xdr:colOff>587754</xdr:colOff>
      <xdr:row>2</xdr:row>
      <xdr:rowOff>180202</xdr:rowOff>
    </xdr:to>
    <mc:AlternateContent xmlns:mc="http://schemas.openxmlformats.org/markup-compatibility/2006">
      <mc:Choice xmlns:a14="http://schemas.microsoft.com/office/drawing/2010/main" Requires="a14">
        <xdr:graphicFrame macro="">
          <xdr:nvGraphicFramePr>
            <xdr:cNvPr id="21" name="Date (Year)">
              <a:extLst>
                <a:ext uri="{FF2B5EF4-FFF2-40B4-BE49-F238E27FC236}">
                  <a16:creationId xmlns:a16="http://schemas.microsoft.com/office/drawing/2014/main" id="{2C4A61C6-5FEC-4442-959C-0DB4483C9FD9}"/>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413547" y="55541"/>
              <a:ext cx="819450" cy="4953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13138</xdr:colOff>
      <xdr:row>0</xdr:row>
      <xdr:rowOff>13139</xdr:rowOff>
    </xdr:from>
    <xdr:to>
      <xdr:col>13</xdr:col>
      <xdr:colOff>0</xdr:colOff>
      <xdr:row>14</xdr:row>
      <xdr:rowOff>5645</xdr:rowOff>
    </xdr:to>
    <xdr:graphicFrame macro="">
      <xdr:nvGraphicFramePr>
        <xdr:cNvPr id="2" name="Chart 1">
          <a:extLst>
            <a:ext uri="{FF2B5EF4-FFF2-40B4-BE49-F238E27FC236}">
              <a16:creationId xmlns:a16="http://schemas.microsoft.com/office/drawing/2014/main" id="{7CFD9F70-BFA0-4107-9236-97AAC41FF0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276581</xdr:colOff>
      <xdr:row>14</xdr:row>
      <xdr:rowOff>39512</xdr:rowOff>
    </xdr:from>
    <xdr:to>
      <xdr:col>11</xdr:col>
      <xdr:colOff>107248</xdr:colOff>
      <xdr:row>15</xdr:row>
      <xdr:rowOff>152401</xdr:rowOff>
    </xdr:to>
    <xdr:sp macro="" textlink="">
      <xdr:nvSpPr>
        <xdr:cNvPr id="3" name="TextBox 2">
          <a:extLst>
            <a:ext uri="{FF2B5EF4-FFF2-40B4-BE49-F238E27FC236}">
              <a16:creationId xmlns:a16="http://schemas.microsoft.com/office/drawing/2014/main" id="{49C4036D-37E9-FEE2-2645-69B2988BDF62}"/>
            </a:ext>
          </a:extLst>
        </xdr:cNvPr>
        <xdr:cNvSpPr txBox="1"/>
      </xdr:nvSpPr>
      <xdr:spPr>
        <a:xfrm>
          <a:off x="886181" y="2568223"/>
          <a:ext cx="5926667" cy="2935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IN" sz="1100"/>
            <a:t>*</a:t>
          </a:r>
          <a:r>
            <a:rPr lang="en-IN" sz="1100" baseline="0"/>
            <a:t> Showing a Daily Trend with an area sparkline to spot patterns like busy days or seasonal Trends.</a:t>
          </a:r>
          <a:endParaRPr lang="en-IN" sz="1100"/>
        </a:p>
      </xdr:txBody>
    </xdr:sp>
    <xdr:clientData/>
  </xdr:twoCellAnchor>
</xdr:wsDr>
</file>

<file path=xl/drawings/drawing4.xml><?xml version="1.0" encoding="utf-8"?>
<c:userShapes xmlns:c="http://schemas.openxmlformats.org/drawingml/2006/chart">
  <cdr:relSizeAnchor xmlns:cdr="http://schemas.openxmlformats.org/drawingml/2006/chartDrawing">
    <cdr:from>
      <cdr:x>0.00785</cdr:x>
      <cdr:y>0.0137</cdr:y>
    </cdr:from>
    <cdr:to>
      <cdr:x>0.04329</cdr:x>
      <cdr:y>0.11094</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11617E1B-E00D-ABD0-E67A-CD1491378F8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62089" y="39511"/>
          <a:ext cx="280373" cy="280373"/>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22860</xdr:colOff>
      <xdr:row>14</xdr:row>
      <xdr:rowOff>15240</xdr:rowOff>
    </xdr:to>
    <xdr:graphicFrame macro="">
      <xdr:nvGraphicFramePr>
        <xdr:cNvPr id="2" name="Chart 1">
          <a:extLst>
            <a:ext uri="{FF2B5EF4-FFF2-40B4-BE49-F238E27FC236}">
              <a16:creationId xmlns:a16="http://schemas.microsoft.com/office/drawing/2014/main" id="{D1660679-0902-41F4-8A12-2444E354D6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108864</xdr:colOff>
      <xdr:row>14</xdr:row>
      <xdr:rowOff>64324</xdr:rowOff>
    </xdr:from>
    <xdr:to>
      <xdr:col>11</xdr:col>
      <xdr:colOff>351320</xdr:colOff>
      <xdr:row>16</xdr:row>
      <xdr:rowOff>153389</xdr:rowOff>
    </xdr:to>
    <xdr:sp macro="" textlink="">
      <xdr:nvSpPr>
        <xdr:cNvPr id="3" name="TextBox 2">
          <a:extLst>
            <a:ext uri="{FF2B5EF4-FFF2-40B4-BE49-F238E27FC236}">
              <a16:creationId xmlns:a16="http://schemas.microsoft.com/office/drawing/2014/main" id="{49C3E607-351F-3454-ABC6-0A42C4A6DC7E}"/>
            </a:ext>
          </a:extLst>
        </xdr:cNvPr>
        <xdr:cNvSpPr txBox="1"/>
      </xdr:nvSpPr>
      <xdr:spPr>
        <a:xfrm>
          <a:off x="108864" y="2627415"/>
          <a:ext cx="6937170" cy="455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Use An Area Chart to track daily changes</a:t>
          </a:r>
          <a:r>
            <a:rPr lang="en-IN" sz="1100" baseline="0"/>
            <a:t> and highlight days with longer wait times that might need improvements.</a:t>
          </a:r>
          <a:endParaRPr lang="en-IN" sz="1100"/>
        </a:p>
      </xdr:txBody>
    </xdr:sp>
    <xdr:clientData/>
  </xdr:twoCellAnchor>
  <xdr:twoCellAnchor editAs="oneCell">
    <xdr:from>
      <xdr:col>0</xdr:col>
      <xdr:colOff>49481</xdr:colOff>
      <xdr:row>0</xdr:row>
      <xdr:rowOff>44533</xdr:rowOff>
    </xdr:from>
    <xdr:to>
      <xdr:col>0</xdr:col>
      <xdr:colOff>329854</xdr:colOff>
      <xdr:row>1</xdr:row>
      <xdr:rowOff>106612</xdr:rowOff>
    </xdr:to>
    <xdr:pic>
      <xdr:nvPicPr>
        <xdr:cNvPr id="4" name="Graphic 1" descr="Home with solid fill">
          <a:hlinkClick xmlns:r="http://schemas.openxmlformats.org/officeDocument/2006/relationships" r:id="rId2"/>
          <a:extLst>
            <a:ext uri="{FF2B5EF4-FFF2-40B4-BE49-F238E27FC236}">
              <a16:creationId xmlns:a16="http://schemas.microsoft.com/office/drawing/2014/main" id="{030C2281-4C51-97D6-ECE5-F6FD7380D27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9481" y="44533"/>
          <a:ext cx="280373" cy="24515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108864</xdr:colOff>
      <xdr:row>14</xdr:row>
      <xdr:rowOff>64324</xdr:rowOff>
    </xdr:from>
    <xdr:to>
      <xdr:col>11</xdr:col>
      <xdr:colOff>351320</xdr:colOff>
      <xdr:row>16</xdr:row>
      <xdr:rowOff>153389</xdr:rowOff>
    </xdr:to>
    <xdr:sp macro="" textlink="">
      <xdr:nvSpPr>
        <xdr:cNvPr id="3" name="TextBox 2">
          <a:extLst>
            <a:ext uri="{FF2B5EF4-FFF2-40B4-BE49-F238E27FC236}">
              <a16:creationId xmlns:a16="http://schemas.microsoft.com/office/drawing/2014/main" id="{160624C3-55AE-402E-B063-1DA944ED32BB}"/>
            </a:ext>
          </a:extLst>
        </xdr:cNvPr>
        <xdr:cNvSpPr txBox="1"/>
      </xdr:nvSpPr>
      <xdr:spPr>
        <a:xfrm>
          <a:off x="108864" y="2624644"/>
          <a:ext cx="6948056" cy="45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Use An Area Chart to</a:t>
          </a:r>
          <a:r>
            <a:rPr lang="en-IN" sz="1100" baseline="0"/>
            <a:t> show trends, spot drop in satisfaction, and link them to busy times or challenges.</a:t>
          </a:r>
        </a:p>
        <a:p>
          <a:endParaRPr lang="en-IN" sz="1100"/>
        </a:p>
      </xdr:txBody>
    </xdr:sp>
    <xdr:clientData/>
  </xdr:twoCellAnchor>
  <xdr:twoCellAnchor>
    <xdr:from>
      <xdr:col>0</xdr:col>
      <xdr:colOff>0</xdr:colOff>
      <xdr:row>0</xdr:row>
      <xdr:rowOff>0</xdr:rowOff>
    </xdr:from>
    <xdr:to>
      <xdr:col>13</xdr:col>
      <xdr:colOff>9584</xdr:colOff>
      <xdr:row>14</xdr:row>
      <xdr:rowOff>4792</xdr:rowOff>
    </xdr:to>
    <xdr:graphicFrame macro="">
      <xdr:nvGraphicFramePr>
        <xdr:cNvPr id="6" name="Chart 5">
          <a:extLst>
            <a:ext uri="{FF2B5EF4-FFF2-40B4-BE49-F238E27FC236}">
              <a16:creationId xmlns:a16="http://schemas.microsoft.com/office/drawing/2014/main" id="{976021CF-4B10-484C-8636-0E3F8D2493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19173</xdr:colOff>
      <xdr:row>0</xdr:row>
      <xdr:rowOff>23963</xdr:rowOff>
    </xdr:from>
    <xdr:to>
      <xdr:col>0</xdr:col>
      <xdr:colOff>349849</xdr:colOff>
      <xdr:row>1</xdr:row>
      <xdr:rowOff>172526</xdr:rowOff>
    </xdr:to>
    <xdr:pic>
      <xdr:nvPicPr>
        <xdr:cNvPr id="10" name="Graphic 9" descr="Home with solid fill">
          <a:hlinkClick xmlns:r="http://schemas.openxmlformats.org/officeDocument/2006/relationships" r:id="rId2"/>
          <a:extLst>
            <a:ext uri="{FF2B5EF4-FFF2-40B4-BE49-F238E27FC236}">
              <a16:creationId xmlns:a16="http://schemas.microsoft.com/office/drawing/2014/main" id="{EE72764B-7C0B-7845-A1AC-E13074D60EF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173" y="23963"/>
          <a:ext cx="330676" cy="330676"/>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Tejeendra" refreshedDate="46110.703133796298" createdVersion="5" refreshedVersion="8" minRefreshableVersion="3" recordCount="0" supportSubquery="1" supportAdvancedDrill="1" xr:uid="{C8F0E260-2071-4740-898E-BD0E7A6FD177}">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Tejeendra" refreshedDate="46110.703133912037" createdVersion="5" refreshedVersion="8" minRefreshableVersion="3" recordCount="0" supportSubquery="1" supportAdvancedDrill="1" xr:uid="{3B085BF1-C075-487E-B429-0709F253FFD9}">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Tejeendra" refreshedDate="46110.703134143521" createdVersion="5" refreshedVersion="8" minRefreshableVersion="3" recordCount="0" supportSubquery="1" supportAdvancedDrill="1" xr:uid="{B982077E-FBEC-4CFD-9460-8A34F2960C51}">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Tejeendra" refreshedDate="46110.703134374999" createdVersion="5" refreshedVersion="8" minRefreshableVersion="3" recordCount="0" supportSubquery="1" supportAdvancedDrill="1" xr:uid="{04AB5D56-4422-4240-AFEA-5FFF8D72CB8F}">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Tejeendra" refreshedDate="46110.703134953706" createdVersion="5" refreshedVersion="8" minRefreshableVersion="3" recordCount="0" supportSubquery="1" supportAdvancedDrill="1" xr:uid="{657E9A99-31FB-4E49-8317-0FA940420AA9}">
  <cacheSource type="external" connectionId="3"/>
  <cacheFields count="4">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Tejeendra" refreshedDate="46110.703135416668" createdVersion="5" refreshedVersion="8" minRefreshableVersion="3" recordCount="0" supportSubquery="1" supportAdvancedDrill="1" xr:uid="{5B472AA0-A7BB-4F03-81AD-8EC1317C3D81}">
  <cacheSource type="external" connectionId="3"/>
  <cacheFields count="4">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Tejeendra" refreshedDate="46110.703135995369" createdVersion="5" refreshedVersion="8" minRefreshableVersion="3" recordCount="0" supportSubquery="1" supportAdvancedDrill="1" xr:uid="{FBBA84B4-C265-4510-8F10-01C411B6043C}">
  <cacheSource type="external" connectionId="3"/>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Tejeendra" refreshedDate="46110.703136574077" createdVersion="5" refreshedVersion="8" minRefreshableVersion="3" recordCount="0" supportSubquery="1" supportAdvancedDrill="1" xr:uid="{55CBC546-2AC2-40CA-9E82-2B61B7F96B19}">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Tejeendra" refreshedDate="46110.703137152777" createdVersion="5" refreshedVersion="8" minRefreshableVersion="3" recordCount="0" supportSubquery="1" supportAdvancedDrill="1" xr:uid="{A7757C49-26C5-4C08-AD5A-CCA8BFF76464}">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2"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Tejeendra" refreshedDate="46110.703137731478" createdVersion="5" refreshedVersion="8" minRefreshableVersion="3" recordCount="0" supportSubquery="1" supportAdvancedDrill="1" xr:uid="{9FFFA0E6-9663-4D83-9A25-0CF3A632195E}">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Tejeendra" refreshedDate="46110.703138310186" createdVersion="5" refreshedVersion="8" minRefreshableVersion="3" recordCount="0" supportSubquery="1" supportAdvancedDrill="1" xr:uid="{7E930EC8-6FE3-430C-99F5-AD6AC6D17160}">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Tejeendra" refreshedDate="46110.703138773148" createdVersion="5" refreshedVersion="8" minRefreshableVersion="3" recordCount="0" supportSubquery="1" supportAdvancedDrill="1" xr:uid="{93205702-9609-4E11-9E5A-9458FF5C37BD}">
  <cacheSource type="external" connectionId="3"/>
  <cacheFields count="4">
    <cacheField name="[Calender_Table].[Date (Month)].[Date (Month)]" caption="Date (Month)" numFmtId="0" hierarchy="1" level="1">
      <sharedItems count="1">
        <s v="Jan"/>
      </sharedItems>
    </cacheField>
    <cacheField name="[Calende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er_Table].[Date (Quarter)].[Date (Quarter)]" caption="Date (Quarter)" numFmtId="0" hierarchy="4" level="1">
      <sharedItems count="1">
        <s v="Qtr1"/>
      </sharedItems>
    </cacheField>
    <cacheField name="[Calender_Table].[Date (Year)].[Date (Year)]" caption="Date (Year)" numFmtId="0" hierarchy="3" level="1">
      <sharedItems count="1">
        <s v="2024"/>
      </sharedItems>
    </cacheField>
  </cacheFields>
  <cacheHierarchies count="35">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Tejeendra" refreshedDate="46110.689076388888" createdVersion="3" refreshedVersion="8" minRefreshableVersion="3" recordCount="0" supportSubquery="1" supportAdvancedDrill="1" xr:uid="{79F118C0-F9F5-4D13-B6FF-9FF78F4697B6}">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489517107"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Tejeendra" refreshedDate="46110.694681597219" createdVersion="3" refreshedVersion="8" minRefreshableVersion="3" recordCount="0" supportSubquery="1" supportAdvancedDrill="1" xr:uid="{19EC9556-5963-4319-879A-BA5DC1B61BBB}">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0"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9957020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9C4134-7C5B-4829-9173-37F0C17A9E83}" name="PivotTable12" cacheId="2264" applyNumberFormats="0" applyBorderFormats="0" applyFontFormats="0" applyPatternFormats="0" applyAlignmentFormats="0" applyWidthHeightFormats="1" dataCaption="Values" tag="487591e1-ae8a-4a3c-ac98-587b130b99ec" updatedVersion="8" minRefreshableVersion="3" itemPrintTitles="1" createdVersion="5" indent="0" outline="1" outlineData="1" multipleFieldFilters="0" chartFormat="22">
  <location ref="F57:F59"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528">
      <pivotArea outline="0" collapsedLevelsAreSubtotals="1" fieldPosition="0"/>
    </format>
  </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D216DB-843C-48BE-8BBB-BBF2FBFF7710}" name="PivotTable11" cacheId="2261" applyNumberFormats="0" applyBorderFormats="0" applyFontFormats="0" applyPatternFormats="0" applyAlignmentFormats="0" applyWidthHeightFormats="1" dataCaption="Values" tag="487591e1-ae8a-4a3c-ac98-587b130b99ec" updatedVersion="8" minRefreshableVersion="3" itemPrintTitles="1" createdVersion="5" indent="0" outline="1" outlineData="1" multipleFieldFilters="0" chartFormat="22">
  <location ref="I57:J66"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formats count="1">
    <format dxfId="529">
      <pivotArea outline="0" collapsedLevelsAreSubtotals="1" fieldPosition="0"/>
    </format>
  </formats>
  <chartFormats count="1">
    <chartFormat chart="21"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A1A01A-5544-4C1A-8AFE-EFF463C7DF0D}" name="PivotTable10" cacheId="2258" applyNumberFormats="0" applyBorderFormats="0" applyFontFormats="0" applyPatternFormats="0" applyAlignmentFormats="0" applyWidthHeightFormats="1" dataCaption="Values" tag="487591e1-ae8a-4a3c-ac98-587b130b99ec" updatedVersion="8" minRefreshableVersion="3" itemPrintTitles="1" createdVersion="5" indent="0" outline="1" outlineData="1" multipleFieldFilters="0" chartFormat="18">
  <location ref="I49:J5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530">
      <pivotArea outline="0" collapsedLevelsAreSubtotals="1" fieldPosition="0"/>
    </format>
  </formats>
  <chartFormats count="3">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1" count="1" selected="0">
            <x v="0"/>
          </reference>
        </references>
      </pivotArea>
    </chartFormat>
    <chartFormat chart="17"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C8783E-E436-4FE1-844B-B16F874A7441}" name="PivotTable9" cacheId="2255" applyNumberFormats="0" applyBorderFormats="0" applyFontFormats="0" applyPatternFormats="0" applyAlignmentFormats="0" applyWidthHeightFormats="1" dataCaption="Values" tag="487591e1-ae8a-4a3c-ac98-587b130b99ec" updatedVersion="8" minRefreshableVersion="3" itemPrintTitles="1" createdVersion="5" indent="0" outline="1" outlineData="1" multipleFieldFilters="0" chartFormat="14">
  <location ref="I41:J4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531">
      <pivotArea outline="0" collapsedLevelsAreSubtotals="1" fieldPosition="0"/>
    </format>
  </formats>
  <chartFormats count="3">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1" count="1" selected="0">
            <x v="0"/>
          </reference>
        </references>
      </pivotArea>
    </chartFormat>
    <chartFormat chart="12"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F1D081-B5C1-444F-BD63-DD59E37E379C}" name="PivotTable1" cacheId="2234" applyNumberFormats="0" applyBorderFormats="0" applyFontFormats="0" applyPatternFormats="0" applyAlignmentFormats="0" applyWidthHeightFormats="1" dataCaption="Values" tag="d030032f-f194-4c01-906d-6d9cc7ad3afa" updatedVersion="8" minRefreshableVersion="3"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B795DC-E9B6-4C14-BA90-3EAB033A026C}" name="PivotTable8" cacheId="2252" applyNumberFormats="0" applyBorderFormats="0" applyFontFormats="0" applyPatternFormats="0" applyAlignmentFormats="0" applyWidthHeightFormats="1" dataCaption="Values" tag="487591e1-ae8a-4a3c-ac98-587b130b99ec" updatedVersion="8" minRefreshableVersion="3" itemPrintTitles="1" createdVersion="5" indent="0" outline="1" outlineData="1" multipleFieldFilters="0" chartFormat="9">
  <location ref="F41:G5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1">
    <format dxfId="532">
      <pivotArea outline="0" collapsedLevelsAreSubtotals="1" fieldPosition="0"/>
    </format>
  </formats>
  <chartFormats count="4">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D6C1A9-F109-4C83-B569-21D512874C71}" name="PivotTable2" cacheId="2237" applyNumberFormats="0" applyBorderFormats="0" applyFontFormats="0" applyPatternFormats="0" applyAlignmentFormats="0" applyWidthHeightFormats="1" dataCaption="Values" tag="b879ecb9-aa78-4599-be0e-8d480ea5f90a" updatedVersion="8" minRefreshableVersion="3"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533">
      <pivotArea outline="0" collapsedLevelsAreSubtotals="1" fieldPosition="0"/>
    </format>
  </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F75D169-16D1-46D3-A6DD-630DCB3290C0}" name="PivotTable6" cacheId="2246" applyNumberFormats="0" applyBorderFormats="0" applyFontFormats="0" applyPatternFormats="0" applyAlignmentFormats="0" applyWidthHeightFormats="1" dataCaption="Values" tag="72bf70ec-9050-4bc7-a5ca-fd604cf258e8" updatedVersion="8" minRefreshableVersion="3" itemPrintTitles="1" createdVersion="5" indent="0" outline="1" outlineData="1" multipleFieldFilters="0" chartFormat="30">
  <location ref="I4:J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534">
      <pivotArea collapsedLevelsAreSubtotals="1" fieldPosition="0">
        <references count="1">
          <reference field="0" count="0"/>
        </references>
      </pivotArea>
    </format>
  </formats>
  <chartFormats count="2">
    <chartFormat chart="23" format="2" series="1">
      <pivotArea type="data" outline="0" fieldPosition="0">
        <references count="1">
          <reference field="4294967294" count="1" selected="0">
            <x v="0"/>
          </reference>
        </references>
      </pivotArea>
    </chartFormat>
    <chartFormat chart="28" format="7"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A3744F1-BD03-4496-B0CA-7F6BF299A32A}" name="PivotTable5" cacheId="2243" applyNumberFormats="0" applyBorderFormats="0" applyFontFormats="0" applyPatternFormats="0" applyAlignmentFormats="0" applyWidthHeightFormats="1" dataCaption="Values" tag="68971a45-bf67-43a1-928a-398ea39eff40" updatedVersion="8" minRefreshableVersion="3" itemPrintTitles="1" createdVersion="5" indent="0" outline="1" outlineData="1" multipleFieldFilters="0" chartFormat="23">
  <location ref="F4:G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1">
    <format dxfId="535">
      <pivotArea collapsedLevelsAreSubtotals="1" fieldPosition="0">
        <references count="1">
          <reference field="0" count="0"/>
        </references>
      </pivotArea>
    </format>
  </formats>
  <chartFormats count="2">
    <chartFormat chart="12"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DD8B5D9-40AA-4966-811A-6B2943BDF3CF}" name="PivotTable4" cacheId="2231" applyNumberFormats="0" applyBorderFormats="0" applyFontFormats="0" applyPatternFormats="0" applyAlignmentFormats="0" applyWidthHeightFormats="1" dataCaption="Values" tag="4b7ac8a6-9879-4596-b2fa-e74a6feaa2c1" updatedVersion="8" minRefreshableVersion="3" itemPrintTitles="1" createdVersion="5" indent="0" outline="1" outlineData="1" multipleFieldFilters="0" chartFormat="9">
  <location ref="C4:D36" firstHeaderRow="1" firstDataRow="1" firstDataCol="1"/>
  <pivotFields count="4">
    <pivotField dataField="1" subtotalTop="0" showAll="0" defaultSubtotal="0"/>
    <pivotField axis="axisRow" allDrilled="1" subtotalTop="0" showAll="0"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2" format="2"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91B2EDF-3B9F-4082-B47D-DEFC33FD3C97}" name="PivotTable7" cacheId="2249" applyNumberFormats="0" applyBorderFormats="0" applyFontFormats="0" applyPatternFormats="0" applyAlignmentFormats="0" applyWidthHeightFormats="1" dataCaption="Values" tag="fe475295-93cc-42b9-a68f-e91479685e64" updatedVersion="8" minRefreshableVersion="3" itemPrintTitles="1" createdVersion="5" indent="0" outline="1" outlineData="1" multipleFieldFilters="0" chartFormat="3">
  <location ref="A41:C44"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538">
      <pivotArea outline="0" collapsedLevelsAreSubtotals="1" fieldPosition="0"/>
    </format>
    <format dxfId="537">
      <pivotArea collapsedLevelsAreSubtotals="1" fieldPosition="0">
        <references count="1">
          <reference field="2" count="0"/>
        </references>
      </pivotArea>
    </format>
    <format dxfId="536">
      <pivotArea outline="0" fieldPosition="0">
        <references count="1">
          <reference field="4294967294" count="1">
            <x v="1"/>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6FB1808-D5AF-4082-A2BA-33F445FB1E9F}" name="PivotTable3" cacheId="2240" applyNumberFormats="0" applyBorderFormats="0" applyFontFormats="0" applyPatternFormats="0" applyAlignmentFormats="0" applyWidthHeightFormats="1" dataCaption="Values" tag="70c2ffff-fedc-496e-8a21-6b1feb53943e" updatedVersion="8" minRefreshableVersion="3"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539">
      <pivotArea outline="0" collapsedLevelsAreSubtotals="1" fieldPosition="0"/>
    </format>
  </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4AAE0496-95E3-43F9-BA24-34836DD687D1}"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489517107">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FD6A713D-13FF-4DB0-969B-FE11EA43D397}" sourceName="[Cale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99570207">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44160CAA-A1B4-4A4E-8911-F695F05E9D11}" cache="Slicer_Date__Month" caption="Date (Month)"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2D5EB03B-0E28-4291-8EB3-940745A9D066}" cache="Slicer_Date__Month" caption="Date (Month)" showCaption="0" level="1" style="My Slicer" rowHeight="144000"/>
  <slicer name="Date (Year)" xr10:uid="{F58526C6-66A7-46D4-877F-DC28DBCA0308}" cache="Slicer_Date__Year" caption="Date (Year)" showCaption="0" level="1" style="My Slicer" rowHeight="14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D9635-553C-43CC-84F1-9F82809558F0}">
  <dimension ref="A3:J66"/>
  <sheetViews>
    <sheetView topLeftCell="E50" zoomScale="93" workbookViewId="0">
      <selection activeCell="F57" sqref="F57:F59"/>
    </sheetView>
  </sheetViews>
  <sheetFormatPr defaultRowHeight="14.4" x14ac:dyDescent="0.3"/>
  <cols>
    <col min="1" max="1" width="15.88671875" customWidth="1"/>
    <col min="2" max="2" width="14.21875" customWidth="1"/>
    <col min="3" max="3" width="18.6640625" customWidth="1"/>
    <col min="4" max="4" width="27.77734375" customWidth="1"/>
    <col min="5" max="5" width="13" bestFit="1" customWidth="1"/>
    <col min="6" max="6" width="17.88671875" bestFit="1" customWidth="1"/>
    <col min="7" max="7" width="29.33203125" bestFit="1" customWidth="1"/>
    <col min="9" max="9" width="13" bestFit="1" customWidth="1"/>
    <col min="10" max="10" width="32.6640625" bestFit="1" customWidth="1"/>
  </cols>
  <sheetData>
    <row r="3" spans="1:10" x14ac:dyDescent="0.3">
      <c r="A3" t="s">
        <v>1</v>
      </c>
    </row>
    <row r="4" spans="1:10" x14ac:dyDescent="0.3">
      <c r="A4" t="s">
        <v>0</v>
      </c>
      <c r="C4" s="1" t="s">
        <v>4</v>
      </c>
      <c r="D4" t="s">
        <v>0</v>
      </c>
      <c r="F4" s="1" t="s">
        <v>4</v>
      </c>
      <c r="G4" t="s">
        <v>2</v>
      </c>
      <c r="I4" s="1" t="s">
        <v>4</v>
      </c>
      <c r="J4" t="s">
        <v>3</v>
      </c>
    </row>
    <row r="5" spans="1:10" x14ac:dyDescent="0.3">
      <c r="A5" s="14">
        <v>513</v>
      </c>
      <c r="C5" s="4" t="s">
        <v>22</v>
      </c>
      <c r="D5" s="14">
        <v>19</v>
      </c>
      <c r="F5" s="4" t="s">
        <v>22</v>
      </c>
      <c r="G5" s="2">
        <v>37.789473684210527</v>
      </c>
      <c r="I5" s="4" t="s">
        <v>22</v>
      </c>
      <c r="J5" s="2">
        <v>6.666666666666667</v>
      </c>
    </row>
    <row r="6" spans="1:10" x14ac:dyDescent="0.3">
      <c r="C6" s="4" t="s">
        <v>23</v>
      </c>
      <c r="D6" s="14">
        <v>14</v>
      </c>
      <c r="F6" s="4" t="s">
        <v>23</v>
      </c>
      <c r="G6" s="2">
        <v>38.214285714285715</v>
      </c>
      <c r="I6" s="4" t="s">
        <v>23</v>
      </c>
      <c r="J6" s="2">
        <v>3.5</v>
      </c>
    </row>
    <row r="7" spans="1:10" x14ac:dyDescent="0.3">
      <c r="C7" s="4" t="s">
        <v>24</v>
      </c>
      <c r="D7" s="14">
        <v>13</v>
      </c>
      <c r="F7" s="4" t="s">
        <v>24</v>
      </c>
      <c r="G7" s="2">
        <v>40.92307692307692</v>
      </c>
      <c r="I7" s="4" t="s">
        <v>24</v>
      </c>
      <c r="J7" s="2">
        <v>4.5</v>
      </c>
    </row>
    <row r="8" spans="1:10" x14ac:dyDescent="0.3">
      <c r="A8" t="s">
        <v>2</v>
      </c>
      <c r="C8" s="4" t="s">
        <v>25</v>
      </c>
      <c r="D8" s="14">
        <v>22</v>
      </c>
      <c r="F8" s="4" t="s">
        <v>25</v>
      </c>
      <c r="G8" s="2">
        <v>34.5</v>
      </c>
      <c r="I8" s="4" t="s">
        <v>25</v>
      </c>
      <c r="J8" s="2">
        <v>4.8</v>
      </c>
    </row>
    <row r="9" spans="1:10" x14ac:dyDescent="0.3">
      <c r="A9" s="2">
        <v>36.323586744639378</v>
      </c>
      <c r="C9" s="4" t="s">
        <v>26</v>
      </c>
      <c r="D9" s="14">
        <v>19</v>
      </c>
      <c r="F9" s="4" t="s">
        <v>26</v>
      </c>
      <c r="G9" s="2">
        <v>30.684210526315791</v>
      </c>
      <c r="I9" s="4" t="s">
        <v>26</v>
      </c>
      <c r="J9" s="2">
        <v>7.75</v>
      </c>
    </row>
    <row r="10" spans="1:10" x14ac:dyDescent="0.3">
      <c r="C10" s="4" t="s">
        <v>27</v>
      </c>
      <c r="D10" s="14">
        <v>15</v>
      </c>
      <c r="F10" s="4" t="s">
        <v>27</v>
      </c>
      <c r="G10" s="2">
        <v>37.666666666666664</v>
      </c>
      <c r="I10" s="4" t="s">
        <v>27</v>
      </c>
      <c r="J10" s="2">
        <v>6.2</v>
      </c>
    </row>
    <row r="11" spans="1:10" x14ac:dyDescent="0.3">
      <c r="A11" t="s">
        <v>3</v>
      </c>
      <c r="C11" s="4" t="s">
        <v>28</v>
      </c>
      <c r="D11" s="14">
        <v>12</v>
      </c>
      <c r="F11" s="4" t="s">
        <v>28</v>
      </c>
      <c r="G11" s="2">
        <v>36.083333333333336</v>
      </c>
      <c r="I11" s="4" t="s">
        <v>28</v>
      </c>
      <c r="J11" s="2">
        <v>3.75</v>
      </c>
    </row>
    <row r="12" spans="1:10" x14ac:dyDescent="0.3">
      <c r="A12" s="2">
        <v>4.9591836734693882</v>
      </c>
      <c r="C12" s="4" t="s">
        <v>29</v>
      </c>
      <c r="D12" s="14">
        <v>21</v>
      </c>
      <c r="F12" s="4" t="s">
        <v>29</v>
      </c>
      <c r="G12" s="2">
        <v>43.523809523809526</v>
      </c>
      <c r="I12" s="4" t="s">
        <v>29</v>
      </c>
      <c r="J12" s="2">
        <v>6.5</v>
      </c>
    </row>
    <row r="13" spans="1:10" x14ac:dyDescent="0.3">
      <c r="C13" s="4" t="s">
        <v>30</v>
      </c>
      <c r="D13" s="14">
        <v>12</v>
      </c>
      <c r="F13" s="4" t="s">
        <v>30</v>
      </c>
      <c r="G13" s="2">
        <v>29.5</v>
      </c>
      <c r="I13" s="4" t="s">
        <v>30</v>
      </c>
      <c r="J13" s="2">
        <v>3</v>
      </c>
    </row>
    <row r="14" spans="1:10" x14ac:dyDescent="0.3">
      <c r="C14" s="4" t="s">
        <v>31</v>
      </c>
      <c r="D14" s="14">
        <v>13</v>
      </c>
      <c r="F14" s="4" t="s">
        <v>31</v>
      </c>
      <c r="G14" s="2">
        <v>38.07692307692308</v>
      </c>
      <c r="I14" s="4" t="s">
        <v>31</v>
      </c>
      <c r="J14" s="2">
        <v>4.5</v>
      </c>
    </row>
    <row r="15" spans="1:10" x14ac:dyDescent="0.3">
      <c r="C15" s="4" t="s">
        <v>32</v>
      </c>
      <c r="D15" s="14">
        <v>13</v>
      </c>
      <c r="F15" s="4" t="s">
        <v>32</v>
      </c>
      <c r="G15" s="2">
        <v>35.846153846153847</v>
      </c>
      <c r="I15" s="4" t="s">
        <v>32</v>
      </c>
      <c r="J15" s="2">
        <v>6</v>
      </c>
    </row>
    <row r="16" spans="1:10" x14ac:dyDescent="0.3">
      <c r="C16" s="4" t="s">
        <v>33</v>
      </c>
      <c r="D16" s="14">
        <v>16</v>
      </c>
      <c r="F16" s="4" t="s">
        <v>33</v>
      </c>
      <c r="G16" s="2">
        <v>32.625</v>
      </c>
      <c r="I16" s="4" t="s">
        <v>33</v>
      </c>
      <c r="J16" s="2">
        <v>5.2</v>
      </c>
    </row>
    <row r="17" spans="3:10" x14ac:dyDescent="0.3">
      <c r="C17" s="4" t="s">
        <v>34</v>
      </c>
      <c r="D17" s="14">
        <v>20</v>
      </c>
      <c r="F17" s="4" t="s">
        <v>34</v>
      </c>
      <c r="G17" s="2">
        <v>39.200000000000003</v>
      </c>
      <c r="I17" s="4" t="s">
        <v>34</v>
      </c>
      <c r="J17" s="2">
        <v>4.4000000000000004</v>
      </c>
    </row>
    <row r="18" spans="3:10" x14ac:dyDescent="0.3">
      <c r="C18" s="4" t="s">
        <v>35</v>
      </c>
      <c r="D18" s="14">
        <v>25</v>
      </c>
      <c r="F18" s="4" t="s">
        <v>35</v>
      </c>
      <c r="G18" s="2">
        <v>35.28</v>
      </c>
      <c r="I18" s="4" t="s">
        <v>35</v>
      </c>
      <c r="J18" s="2">
        <v>3.4545454545454546</v>
      </c>
    </row>
    <row r="19" spans="3:10" x14ac:dyDescent="0.3">
      <c r="C19" s="4" t="s">
        <v>36</v>
      </c>
      <c r="D19" s="14">
        <v>20</v>
      </c>
      <c r="F19" s="4" t="s">
        <v>36</v>
      </c>
      <c r="G19" s="2">
        <v>32.549999999999997</v>
      </c>
      <c r="I19" s="4" t="s">
        <v>36</v>
      </c>
      <c r="J19" s="2">
        <v>4.4000000000000004</v>
      </c>
    </row>
    <row r="20" spans="3:10" x14ac:dyDescent="0.3">
      <c r="C20" s="4" t="s">
        <v>37</v>
      </c>
      <c r="D20" s="14">
        <v>14</v>
      </c>
      <c r="F20" s="4" t="s">
        <v>37</v>
      </c>
      <c r="G20" s="2">
        <v>35.642857142857146</v>
      </c>
      <c r="I20" s="4" t="s">
        <v>37</v>
      </c>
      <c r="J20" s="2">
        <v>5.833333333333333</v>
      </c>
    </row>
    <row r="21" spans="3:10" x14ac:dyDescent="0.3">
      <c r="C21" s="4" t="s">
        <v>38</v>
      </c>
      <c r="D21" s="14">
        <v>17</v>
      </c>
      <c r="F21" s="4" t="s">
        <v>38</v>
      </c>
      <c r="G21" s="2">
        <v>38.764705882352942</v>
      </c>
      <c r="I21" s="4" t="s">
        <v>38</v>
      </c>
      <c r="J21" s="2">
        <v>4.4444444444444446</v>
      </c>
    </row>
    <row r="22" spans="3:10" x14ac:dyDescent="0.3">
      <c r="C22" s="4" t="s">
        <v>39</v>
      </c>
      <c r="D22" s="14">
        <v>20</v>
      </c>
      <c r="F22" s="4" t="s">
        <v>39</v>
      </c>
      <c r="G22" s="2">
        <v>39.9</v>
      </c>
      <c r="I22" s="4" t="s">
        <v>39</v>
      </c>
      <c r="J22" s="2">
        <v>5.333333333333333</v>
      </c>
    </row>
    <row r="23" spans="3:10" x14ac:dyDescent="0.3">
      <c r="C23" s="4" t="s">
        <v>40</v>
      </c>
      <c r="D23" s="14">
        <v>10</v>
      </c>
      <c r="F23" s="4" t="s">
        <v>40</v>
      </c>
      <c r="G23" s="2">
        <v>41.6</v>
      </c>
      <c r="I23" s="4" t="s">
        <v>40</v>
      </c>
      <c r="J23" s="2">
        <v>5.333333333333333</v>
      </c>
    </row>
    <row r="24" spans="3:10" x14ac:dyDescent="0.3">
      <c r="C24" s="4" t="s">
        <v>41</v>
      </c>
      <c r="D24" s="14">
        <v>17</v>
      </c>
      <c r="F24" s="4" t="s">
        <v>41</v>
      </c>
      <c r="G24" s="2">
        <v>39.470588235294116</v>
      </c>
      <c r="I24" s="4" t="s">
        <v>41</v>
      </c>
      <c r="J24" s="2">
        <v>5.5714285714285712</v>
      </c>
    </row>
    <row r="25" spans="3:10" x14ac:dyDescent="0.3">
      <c r="C25" s="4" t="s">
        <v>42</v>
      </c>
      <c r="D25" s="14">
        <v>15</v>
      </c>
      <c r="F25" s="4" t="s">
        <v>42</v>
      </c>
      <c r="G25" s="2">
        <v>27.733333333333334</v>
      </c>
      <c r="I25" s="4" t="s">
        <v>42</v>
      </c>
      <c r="J25" s="2">
        <v>5</v>
      </c>
    </row>
    <row r="26" spans="3:10" x14ac:dyDescent="0.3">
      <c r="C26" s="4" t="s">
        <v>43</v>
      </c>
      <c r="D26" s="14">
        <v>16</v>
      </c>
      <c r="F26" s="4" t="s">
        <v>43</v>
      </c>
      <c r="G26" s="2">
        <v>36.875</v>
      </c>
      <c r="I26" s="4" t="s">
        <v>43</v>
      </c>
      <c r="J26" s="2">
        <v>6.4</v>
      </c>
    </row>
    <row r="27" spans="3:10" x14ac:dyDescent="0.3">
      <c r="C27" s="4" t="s">
        <v>44</v>
      </c>
      <c r="D27" s="14">
        <v>18</v>
      </c>
      <c r="F27" s="4" t="s">
        <v>44</v>
      </c>
      <c r="G27" s="2">
        <v>40.333333333333336</v>
      </c>
      <c r="I27" s="4" t="s">
        <v>44</v>
      </c>
      <c r="J27" s="2">
        <v>5.333333333333333</v>
      </c>
    </row>
    <row r="28" spans="3:10" x14ac:dyDescent="0.3">
      <c r="C28" s="4" t="s">
        <v>45</v>
      </c>
      <c r="D28" s="14">
        <v>16</v>
      </c>
      <c r="F28" s="4" t="s">
        <v>45</v>
      </c>
      <c r="G28" s="2">
        <v>36.5</v>
      </c>
      <c r="I28" s="4" t="s">
        <v>45</v>
      </c>
      <c r="J28" s="2">
        <v>3.75</v>
      </c>
    </row>
    <row r="29" spans="3:10" x14ac:dyDescent="0.3">
      <c r="C29" s="4" t="s">
        <v>46</v>
      </c>
      <c r="D29" s="14">
        <v>15</v>
      </c>
      <c r="F29" s="4" t="s">
        <v>46</v>
      </c>
      <c r="G29" s="2">
        <v>32.866666666666667</v>
      </c>
      <c r="I29" s="4" t="s">
        <v>46</v>
      </c>
      <c r="J29" s="2">
        <v>6.333333333333333</v>
      </c>
    </row>
    <row r="30" spans="3:10" x14ac:dyDescent="0.3">
      <c r="C30" s="4" t="s">
        <v>47</v>
      </c>
      <c r="D30" s="14">
        <v>14</v>
      </c>
      <c r="F30" s="4" t="s">
        <v>47</v>
      </c>
      <c r="G30" s="2">
        <v>36.642857142857146</v>
      </c>
      <c r="I30" s="4" t="s">
        <v>47</v>
      </c>
      <c r="J30" s="2">
        <v>10</v>
      </c>
    </row>
    <row r="31" spans="3:10" x14ac:dyDescent="0.3">
      <c r="C31" s="4" t="s">
        <v>48</v>
      </c>
      <c r="D31" s="14">
        <v>16</v>
      </c>
      <c r="F31" s="4" t="s">
        <v>48</v>
      </c>
      <c r="G31" s="2">
        <v>36.5625</v>
      </c>
      <c r="I31" s="4" t="s">
        <v>48</v>
      </c>
      <c r="J31" s="2">
        <v>5</v>
      </c>
    </row>
    <row r="32" spans="3:10" x14ac:dyDescent="0.3">
      <c r="C32" s="4" t="s">
        <v>49</v>
      </c>
      <c r="D32" s="14">
        <v>20</v>
      </c>
      <c r="F32" s="4" t="s">
        <v>49</v>
      </c>
      <c r="G32" s="2">
        <v>32.15</v>
      </c>
      <c r="I32" s="4" t="s">
        <v>49</v>
      </c>
      <c r="J32" s="2">
        <v>5.333333333333333</v>
      </c>
    </row>
    <row r="33" spans="1:10" x14ac:dyDescent="0.3">
      <c r="C33" s="4" t="s">
        <v>50</v>
      </c>
      <c r="D33" s="14">
        <v>19</v>
      </c>
      <c r="F33" s="4" t="s">
        <v>50</v>
      </c>
      <c r="G33" s="2">
        <v>38.368421052631582</v>
      </c>
      <c r="I33" s="4" t="s">
        <v>50</v>
      </c>
      <c r="J33" s="2">
        <v>4.8</v>
      </c>
    </row>
    <row r="34" spans="1:10" x14ac:dyDescent="0.3">
      <c r="C34" s="4" t="s">
        <v>51</v>
      </c>
      <c r="D34" s="14">
        <v>14</v>
      </c>
      <c r="F34" s="4" t="s">
        <v>51</v>
      </c>
      <c r="G34" s="2">
        <v>33.071428571428569</v>
      </c>
      <c r="I34" s="4" t="s">
        <v>51</v>
      </c>
      <c r="J34" s="2">
        <v>5</v>
      </c>
    </row>
    <row r="35" spans="1:10" x14ac:dyDescent="0.3">
      <c r="C35" s="4" t="s">
        <v>52</v>
      </c>
      <c r="D35" s="14">
        <v>18</v>
      </c>
      <c r="F35" s="4" t="s">
        <v>52</v>
      </c>
      <c r="G35" s="2">
        <v>36.444444444444443</v>
      </c>
      <c r="I35" s="4" t="s">
        <v>52</v>
      </c>
      <c r="J35" s="2">
        <v>1.4</v>
      </c>
    </row>
    <row r="36" spans="1:10" x14ac:dyDescent="0.3">
      <c r="C36" s="4" t="s">
        <v>5</v>
      </c>
      <c r="D36" s="14">
        <v>513</v>
      </c>
      <c r="F36" s="4" t="s">
        <v>5</v>
      </c>
      <c r="G36" s="14">
        <v>36.323586744639378</v>
      </c>
      <c r="I36" s="4" t="s">
        <v>5</v>
      </c>
      <c r="J36" s="14">
        <v>4.9591836734693882</v>
      </c>
    </row>
    <row r="40" spans="1:10" x14ac:dyDescent="0.3">
      <c r="F40" t="s">
        <v>53</v>
      </c>
      <c r="I40" t="s">
        <v>57</v>
      </c>
    </row>
    <row r="41" spans="1:10" x14ac:dyDescent="0.3">
      <c r="A41" s="1" t="s">
        <v>4</v>
      </c>
      <c r="B41" t="s">
        <v>6</v>
      </c>
      <c r="C41" t="s">
        <v>9</v>
      </c>
      <c r="F41" s="1" t="s">
        <v>4</v>
      </c>
      <c r="G41" t="s">
        <v>21</v>
      </c>
      <c r="I41" s="1" t="s">
        <v>4</v>
      </c>
      <c r="J41" t="s">
        <v>56</v>
      </c>
    </row>
    <row r="42" spans="1:10" x14ac:dyDescent="0.3">
      <c r="A42" s="4" t="s">
        <v>7</v>
      </c>
      <c r="B42" s="7">
        <v>269</v>
      </c>
      <c r="C42" s="8">
        <v>0.52436647173489281</v>
      </c>
      <c r="F42" s="4" t="s">
        <v>13</v>
      </c>
      <c r="G42" s="7">
        <v>76</v>
      </c>
      <c r="I42" s="4" t="s">
        <v>54</v>
      </c>
      <c r="J42" s="7">
        <v>316</v>
      </c>
    </row>
    <row r="43" spans="1:10" x14ac:dyDescent="0.3">
      <c r="A43" s="4" t="s">
        <v>8</v>
      </c>
      <c r="B43" s="7">
        <v>244</v>
      </c>
      <c r="C43" s="8">
        <v>0.47563352826510719</v>
      </c>
      <c r="F43" s="4" t="s">
        <v>14</v>
      </c>
      <c r="G43" s="7">
        <v>69</v>
      </c>
      <c r="I43" s="4" t="s">
        <v>55</v>
      </c>
      <c r="J43" s="7">
        <v>197</v>
      </c>
    </row>
    <row r="44" spans="1:10" x14ac:dyDescent="0.3">
      <c r="A44" s="4" t="s">
        <v>5</v>
      </c>
      <c r="B44" s="2">
        <v>513</v>
      </c>
      <c r="C44" s="8">
        <v>1</v>
      </c>
      <c r="F44" s="4" t="s">
        <v>15</v>
      </c>
      <c r="G44" s="7">
        <v>64</v>
      </c>
      <c r="I44" s="4" t="s">
        <v>5</v>
      </c>
      <c r="J44" s="7">
        <v>513</v>
      </c>
    </row>
    <row r="45" spans="1:10" x14ac:dyDescent="0.3">
      <c r="F45" s="4" t="s">
        <v>16</v>
      </c>
      <c r="G45" s="7">
        <v>59</v>
      </c>
    </row>
    <row r="46" spans="1:10" x14ac:dyDescent="0.3">
      <c r="F46" s="4" t="s">
        <v>17</v>
      </c>
      <c r="G46" s="7">
        <v>58</v>
      </c>
    </row>
    <row r="47" spans="1:10" x14ac:dyDescent="0.3">
      <c r="F47" s="4" t="s">
        <v>18</v>
      </c>
      <c r="G47" s="7">
        <v>66</v>
      </c>
    </row>
    <row r="48" spans="1:10" x14ac:dyDescent="0.3">
      <c r="F48" s="4" t="s">
        <v>19</v>
      </c>
      <c r="G48" s="7">
        <v>67</v>
      </c>
      <c r="I48" t="s">
        <v>61</v>
      </c>
    </row>
    <row r="49" spans="1:10" x14ac:dyDescent="0.3">
      <c r="F49" s="4" t="s">
        <v>20</v>
      </c>
      <c r="G49" s="7">
        <v>54</v>
      </c>
      <c r="I49" s="1" t="s">
        <v>4</v>
      </c>
      <c r="J49" t="s">
        <v>60</v>
      </c>
    </row>
    <row r="50" spans="1:10" x14ac:dyDescent="0.3">
      <c r="F50" s="4" t="s">
        <v>5</v>
      </c>
      <c r="G50" s="7">
        <v>513</v>
      </c>
      <c r="I50" s="4" t="s">
        <v>58</v>
      </c>
      <c r="J50" s="7">
        <v>241</v>
      </c>
    </row>
    <row r="51" spans="1:10" ht="15" customHeight="1" x14ac:dyDescent="0.3">
      <c r="I51" s="4" t="s">
        <v>59</v>
      </c>
      <c r="J51" s="7">
        <v>272</v>
      </c>
    </row>
    <row r="52" spans="1:10" ht="14.4" customHeight="1" x14ac:dyDescent="0.3">
      <c r="A52" s="12" t="s">
        <v>10</v>
      </c>
      <c r="B52" s="12" t="s">
        <v>11</v>
      </c>
      <c r="C52" s="12" t="s">
        <v>12</v>
      </c>
      <c r="D52" s="13"/>
      <c r="I52" s="4" t="s">
        <v>5</v>
      </c>
      <c r="J52" s="7">
        <v>513</v>
      </c>
    </row>
    <row r="53" spans="1:10" x14ac:dyDescent="0.3">
      <c r="A53" s="9" t="str">
        <f>A43</f>
        <v>Not Admitted</v>
      </c>
      <c r="B53" s="9">
        <f>B43</f>
        <v>244</v>
      </c>
      <c r="C53" s="10">
        <f>C43</f>
        <v>0.47563352826510719</v>
      </c>
      <c r="D53" s="11"/>
    </row>
    <row r="54" spans="1:10" x14ac:dyDescent="0.3">
      <c r="A54" s="9" t="str">
        <f>A42</f>
        <v>Admitted</v>
      </c>
      <c r="B54" s="9">
        <f>B42</f>
        <v>269</v>
      </c>
      <c r="C54" s="10">
        <f>C42</f>
        <v>0.52436647173489281</v>
      </c>
      <c r="D54" s="11"/>
    </row>
    <row r="57" spans="1:10" x14ac:dyDescent="0.3">
      <c r="F57" s="1" t="s">
        <v>4</v>
      </c>
      <c r="I57" s="1" t="s">
        <v>4</v>
      </c>
      <c r="J57" t="s">
        <v>70</v>
      </c>
    </row>
    <row r="58" spans="1:10" x14ac:dyDescent="0.3">
      <c r="F58" s="4" t="s">
        <v>71</v>
      </c>
      <c r="I58" s="4" t="s">
        <v>63</v>
      </c>
      <c r="J58" s="7">
        <v>4</v>
      </c>
    </row>
    <row r="59" spans="1:10" x14ac:dyDescent="0.3">
      <c r="F59" s="4" t="s">
        <v>5</v>
      </c>
      <c r="I59" s="4" t="s">
        <v>69</v>
      </c>
      <c r="J59" s="7">
        <v>5</v>
      </c>
    </row>
    <row r="60" spans="1:10" x14ac:dyDescent="0.3">
      <c r="I60" s="4" t="s">
        <v>65</v>
      </c>
      <c r="J60" s="7">
        <v>9</v>
      </c>
    </row>
    <row r="61" spans="1:10" x14ac:dyDescent="0.3">
      <c r="I61" s="4" t="s">
        <v>68</v>
      </c>
      <c r="J61" s="7">
        <v>14</v>
      </c>
    </row>
    <row r="62" spans="1:10" x14ac:dyDescent="0.3">
      <c r="I62" s="4" t="s">
        <v>62</v>
      </c>
      <c r="J62" s="7">
        <v>14</v>
      </c>
    </row>
    <row r="63" spans="1:10" x14ac:dyDescent="0.3">
      <c r="I63" s="4" t="s">
        <v>67</v>
      </c>
      <c r="J63" s="7">
        <v>65</v>
      </c>
    </row>
    <row r="64" spans="1:10" x14ac:dyDescent="0.3">
      <c r="I64" s="4" t="s">
        <v>64</v>
      </c>
      <c r="J64" s="7">
        <v>103</v>
      </c>
    </row>
    <row r="65" spans="9:10" x14ac:dyDescent="0.3">
      <c r="I65" s="4" t="s">
        <v>66</v>
      </c>
      <c r="J65" s="7">
        <v>299</v>
      </c>
    </row>
    <row r="66" spans="9:10" x14ac:dyDescent="0.3">
      <c r="I66" s="4" t="s">
        <v>5</v>
      </c>
      <c r="J66" s="7">
        <v>513</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79705-A842-4E00-9F68-46EC023D214E}">
  <dimension ref="A1:M16"/>
  <sheetViews>
    <sheetView tabSelected="1" zoomScale="148" workbookViewId="0">
      <selection activeCell="M8" sqref="M8"/>
    </sheetView>
  </sheetViews>
  <sheetFormatPr defaultRowHeight="14.4" x14ac:dyDescent="0.3"/>
  <sheetData>
    <row r="1" spans="1:13" x14ac:dyDescent="0.3">
      <c r="A1" s="3"/>
      <c r="B1" s="3"/>
      <c r="C1" s="3"/>
      <c r="D1" s="3"/>
      <c r="E1" s="3"/>
      <c r="F1" s="3"/>
      <c r="G1" s="3"/>
      <c r="H1" s="3"/>
      <c r="I1" s="3"/>
      <c r="J1" s="3"/>
      <c r="K1" s="3"/>
      <c r="L1" s="3"/>
      <c r="M1" s="3"/>
    </row>
    <row r="2" spans="1:13" x14ac:dyDescent="0.3">
      <c r="A2" s="3"/>
      <c r="B2" s="3"/>
      <c r="C2" s="3"/>
      <c r="D2" s="3"/>
      <c r="E2" s="3"/>
      <c r="F2" s="3"/>
      <c r="G2" s="3"/>
      <c r="H2" s="3"/>
      <c r="I2" s="3"/>
      <c r="J2" s="3"/>
      <c r="K2" s="3"/>
      <c r="L2" s="3"/>
      <c r="M2" s="3"/>
    </row>
    <row r="3" spans="1:13" x14ac:dyDescent="0.3">
      <c r="A3" s="3"/>
      <c r="B3" s="3"/>
      <c r="C3" s="3"/>
      <c r="D3" s="3"/>
      <c r="E3" s="3"/>
      <c r="F3" s="3"/>
      <c r="G3" s="3"/>
      <c r="H3" s="3"/>
      <c r="I3" s="3"/>
      <c r="J3" s="3"/>
      <c r="K3" s="3"/>
      <c r="L3" s="3"/>
      <c r="M3" s="3"/>
    </row>
    <row r="4" spans="1:13" x14ac:dyDescent="0.3">
      <c r="A4" s="3"/>
      <c r="B4" s="3"/>
      <c r="C4" s="3"/>
      <c r="D4" s="3"/>
      <c r="E4" s="3"/>
      <c r="F4" s="3"/>
      <c r="G4" s="3"/>
      <c r="H4" s="3"/>
      <c r="I4" s="3"/>
      <c r="J4" s="3"/>
      <c r="K4" s="3"/>
      <c r="L4" s="3"/>
      <c r="M4" s="3"/>
    </row>
    <row r="5" spans="1:13" x14ac:dyDescent="0.3">
      <c r="A5" s="3"/>
      <c r="B5" s="3"/>
      <c r="C5" s="3"/>
      <c r="D5" s="3"/>
      <c r="E5" s="3"/>
      <c r="F5" s="3"/>
      <c r="G5" s="3"/>
      <c r="H5" s="3"/>
      <c r="I5" s="3"/>
      <c r="J5" s="3"/>
      <c r="K5" s="3"/>
      <c r="L5" s="3"/>
      <c r="M5" s="3"/>
    </row>
    <row r="6" spans="1:13" x14ac:dyDescent="0.3">
      <c r="A6" s="3"/>
      <c r="B6" s="3"/>
      <c r="C6" s="3"/>
      <c r="D6" s="3"/>
      <c r="E6" s="3"/>
      <c r="F6" s="3"/>
      <c r="G6" s="3"/>
      <c r="H6" s="3"/>
      <c r="I6" s="3"/>
      <c r="J6" s="3"/>
      <c r="K6" s="3"/>
      <c r="L6" s="3"/>
      <c r="M6" s="3"/>
    </row>
    <row r="7" spans="1:13" x14ac:dyDescent="0.3">
      <c r="A7" s="3"/>
      <c r="B7" s="3"/>
      <c r="C7" s="3"/>
      <c r="D7" s="3"/>
      <c r="E7" s="3"/>
      <c r="F7" s="3"/>
      <c r="G7" s="3"/>
      <c r="H7" s="3"/>
      <c r="I7" s="3"/>
      <c r="J7" s="3"/>
      <c r="K7" s="3"/>
      <c r="L7" s="3"/>
      <c r="M7" s="3"/>
    </row>
    <row r="8" spans="1:13" x14ac:dyDescent="0.3">
      <c r="A8" s="3"/>
      <c r="B8" s="3"/>
      <c r="C8" s="3"/>
      <c r="D8" s="3"/>
      <c r="E8" s="3"/>
      <c r="F8" s="3"/>
      <c r="G8" s="3"/>
      <c r="H8" s="3"/>
      <c r="I8" s="3"/>
      <c r="J8" s="3"/>
      <c r="K8" s="3"/>
      <c r="L8" s="3"/>
      <c r="M8" s="3"/>
    </row>
    <row r="9" spans="1:13" x14ac:dyDescent="0.3">
      <c r="A9" s="3"/>
      <c r="B9" s="3"/>
      <c r="C9" s="3"/>
      <c r="D9" s="3"/>
      <c r="E9" s="3"/>
      <c r="F9" s="3"/>
      <c r="G9" s="3"/>
      <c r="H9" s="3"/>
      <c r="I9" s="3"/>
      <c r="J9" s="3"/>
      <c r="K9" s="3"/>
      <c r="L9" s="3"/>
      <c r="M9" s="3"/>
    </row>
    <row r="10" spans="1:13" x14ac:dyDescent="0.3">
      <c r="A10" s="3"/>
      <c r="B10" s="3"/>
      <c r="C10" s="3"/>
      <c r="D10" s="3"/>
      <c r="E10" s="3"/>
      <c r="F10" s="3"/>
      <c r="G10" s="3"/>
      <c r="H10" s="3"/>
      <c r="I10" s="3"/>
      <c r="J10" s="3"/>
      <c r="K10" s="3"/>
      <c r="L10" s="3"/>
      <c r="M10" s="3"/>
    </row>
    <row r="11" spans="1:13" x14ac:dyDescent="0.3">
      <c r="A11" s="3"/>
      <c r="B11" s="3"/>
      <c r="C11" s="3"/>
      <c r="D11" s="3"/>
      <c r="E11" s="3"/>
      <c r="F11" s="3"/>
      <c r="G11" s="3"/>
      <c r="H11" s="3"/>
      <c r="I11" s="3"/>
      <c r="J11" s="3"/>
      <c r="K11" s="3"/>
      <c r="L11" s="3"/>
      <c r="M11" s="3"/>
    </row>
    <row r="12" spans="1:13" x14ac:dyDescent="0.3">
      <c r="A12" s="3"/>
      <c r="B12" s="3"/>
      <c r="C12" s="3"/>
      <c r="D12" s="3"/>
      <c r="E12" s="3"/>
      <c r="F12" s="3"/>
      <c r="G12" s="3"/>
      <c r="H12" s="3"/>
      <c r="I12" s="3"/>
      <c r="J12" s="3"/>
      <c r="K12" s="3"/>
      <c r="L12" s="3"/>
      <c r="M12" s="3"/>
    </row>
    <row r="13" spans="1:13" x14ac:dyDescent="0.3">
      <c r="A13" s="3"/>
      <c r="B13" s="3"/>
      <c r="C13" s="3"/>
      <c r="D13" s="3"/>
      <c r="E13" s="3"/>
      <c r="F13" s="3"/>
      <c r="G13" s="3"/>
      <c r="H13" s="3"/>
      <c r="I13" s="3"/>
      <c r="J13" s="3"/>
      <c r="K13" s="3"/>
      <c r="L13" s="3"/>
      <c r="M13" s="3"/>
    </row>
    <row r="14" spans="1:13" x14ac:dyDescent="0.3">
      <c r="A14" s="3"/>
      <c r="B14" s="3"/>
      <c r="C14" s="3"/>
      <c r="D14" s="3"/>
      <c r="E14" s="3"/>
      <c r="F14" s="3"/>
      <c r="G14" s="3"/>
      <c r="H14" s="3"/>
      <c r="I14" s="3"/>
      <c r="J14" s="3"/>
      <c r="K14" s="3"/>
      <c r="L14" s="3"/>
      <c r="M14" s="3"/>
    </row>
    <row r="15" spans="1:13" x14ac:dyDescent="0.3">
      <c r="A15" s="3"/>
      <c r="B15" s="3"/>
      <c r="C15" s="3"/>
      <c r="D15" s="3"/>
      <c r="E15" s="3"/>
      <c r="F15" s="3"/>
      <c r="G15" s="3"/>
      <c r="H15" s="3"/>
      <c r="I15" s="3"/>
      <c r="J15" s="3"/>
      <c r="K15" s="3"/>
      <c r="L15" s="3"/>
      <c r="M15" s="3"/>
    </row>
    <row r="16" spans="1:13" x14ac:dyDescent="0.3">
      <c r="A16" s="3"/>
      <c r="B16" s="3"/>
      <c r="C16" s="3"/>
      <c r="D16" s="3"/>
      <c r="E16" s="3"/>
      <c r="F16" s="3"/>
      <c r="G16" s="3"/>
      <c r="H16" s="3"/>
      <c r="I16" s="3"/>
      <c r="J16" s="3"/>
      <c r="K16" s="3"/>
      <c r="L16" s="3"/>
      <c r="M16" s="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69083-5051-4533-A6DA-3023E089E706}">
  <dimension ref="A1:N20"/>
  <sheetViews>
    <sheetView zoomScale="135" workbookViewId="0"/>
  </sheetViews>
  <sheetFormatPr defaultRowHeight="14.4" x14ac:dyDescent="0.3"/>
  <sheetData>
    <row r="1" spans="1:14" x14ac:dyDescent="0.3">
      <c r="A1" s="5"/>
      <c r="B1" s="5"/>
      <c r="C1" s="5"/>
      <c r="D1" s="5"/>
      <c r="E1" s="5"/>
      <c r="F1" s="5"/>
      <c r="G1" s="5"/>
      <c r="H1" s="5"/>
      <c r="I1" s="5"/>
      <c r="J1" s="5"/>
      <c r="K1" s="5"/>
      <c r="L1" s="5"/>
      <c r="M1" s="5"/>
      <c r="N1" s="6"/>
    </row>
    <row r="2" spans="1:14" x14ac:dyDescent="0.3">
      <c r="A2" s="5"/>
      <c r="B2" s="5"/>
      <c r="C2" s="5"/>
      <c r="D2" s="5"/>
      <c r="E2" s="5"/>
      <c r="F2" s="5"/>
      <c r="G2" s="5"/>
      <c r="H2" s="5"/>
      <c r="I2" s="5"/>
      <c r="J2" s="5"/>
      <c r="K2" s="5"/>
      <c r="L2" s="5"/>
      <c r="M2" s="5"/>
      <c r="N2" s="6"/>
    </row>
    <row r="3" spans="1:14" x14ac:dyDescent="0.3">
      <c r="A3" s="5"/>
      <c r="B3" s="5"/>
      <c r="C3" s="5"/>
      <c r="D3" s="5"/>
      <c r="E3" s="5"/>
      <c r="F3" s="5"/>
      <c r="G3" s="5"/>
      <c r="H3" s="5"/>
      <c r="I3" s="5"/>
      <c r="J3" s="5"/>
      <c r="K3" s="5"/>
      <c r="L3" s="5"/>
      <c r="M3" s="5"/>
      <c r="N3" s="6"/>
    </row>
    <row r="4" spans="1:14" x14ac:dyDescent="0.3">
      <c r="A4" s="5"/>
      <c r="B4" s="5"/>
      <c r="C4" s="5"/>
      <c r="D4" s="5"/>
      <c r="E4" s="5"/>
      <c r="F4" s="5"/>
      <c r="G4" s="5"/>
      <c r="H4" s="5"/>
      <c r="I4" s="5"/>
      <c r="J4" s="5"/>
      <c r="K4" s="5"/>
      <c r="L4" s="5"/>
      <c r="M4" s="5"/>
      <c r="N4" s="6"/>
    </row>
    <row r="5" spans="1:14" x14ac:dyDescent="0.3">
      <c r="A5" s="5"/>
      <c r="B5" s="5"/>
      <c r="C5" s="5"/>
      <c r="D5" s="5"/>
      <c r="E5" s="5"/>
      <c r="F5" s="5"/>
      <c r="G5" s="5"/>
      <c r="H5" s="5"/>
      <c r="I5" s="5"/>
      <c r="J5" s="5"/>
      <c r="K5" s="5"/>
      <c r="L5" s="5"/>
      <c r="M5" s="5"/>
      <c r="N5" s="6"/>
    </row>
    <row r="6" spans="1:14" x14ac:dyDescent="0.3">
      <c r="A6" s="5"/>
      <c r="B6" s="5"/>
      <c r="C6" s="5"/>
      <c r="D6" s="5"/>
      <c r="E6" s="5"/>
      <c r="F6" s="5"/>
      <c r="G6" s="5"/>
      <c r="H6" s="5"/>
      <c r="I6" s="5"/>
      <c r="J6" s="5"/>
      <c r="K6" s="5"/>
      <c r="L6" s="5"/>
      <c r="M6" s="5"/>
      <c r="N6" s="6"/>
    </row>
    <row r="7" spans="1:14" x14ac:dyDescent="0.3">
      <c r="A7" s="5"/>
      <c r="B7" s="5"/>
      <c r="C7" s="5"/>
      <c r="D7" s="5"/>
      <c r="E7" s="5"/>
      <c r="F7" s="5"/>
      <c r="G7" s="5"/>
      <c r="H7" s="5"/>
      <c r="I7" s="5"/>
      <c r="J7" s="5"/>
      <c r="K7" s="5"/>
      <c r="L7" s="5"/>
      <c r="M7" s="5"/>
      <c r="N7" s="6"/>
    </row>
    <row r="8" spans="1:14" x14ac:dyDescent="0.3">
      <c r="A8" s="5"/>
      <c r="B8" s="5"/>
      <c r="C8" s="5"/>
      <c r="D8" s="5"/>
      <c r="E8" s="5"/>
      <c r="F8" s="5"/>
      <c r="G8" s="5"/>
      <c r="H8" s="5"/>
      <c r="I8" s="5"/>
      <c r="J8" s="5"/>
      <c r="K8" s="5"/>
      <c r="L8" s="5"/>
      <c r="M8" s="5"/>
      <c r="N8" s="6"/>
    </row>
    <row r="9" spans="1:14" x14ac:dyDescent="0.3">
      <c r="A9" s="5"/>
      <c r="B9" s="5"/>
      <c r="C9" s="5"/>
      <c r="D9" s="5"/>
      <c r="E9" s="5"/>
      <c r="F9" s="5"/>
      <c r="G9" s="5"/>
      <c r="H9" s="5"/>
      <c r="I9" s="5"/>
      <c r="J9" s="5"/>
      <c r="K9" s="5"/>
      <c r="L9" s="5"/>
      <c r="M9" s="5"/>
      <c r="N9" s="6"/>
    </row>
    <row r="10" spans="1:14" x14ac:dyDescent="0.3">
      <c r="A10" s="5"/>
      <c r="B10" s="5"/>
      <c r="C10" s="5"/>
      <c r="D10" s="5"/>
      <c r="E10" s="5"/>
      <c r="F10" s="5"/>
      <c r="G10" s="5"/>
      <c r="H10" s="5"/>
      <c r="I10" s="5"/>
      <c r="J10" s="5"/>
      <c r="K10" s="5"/>
      <c r="L10" s="5"/>
      <c r="M10" s="5"/>
      <c r="N10" s="6"/>
    </row>
    <row r="11" spans="1:14" x14ac:dyDescent="0.3">
      <c r="A11" s="5"/>
      <c r="B11" s="5"/>
      <c r="C11" s="5"/>
      <c r="D11" s="5"/>
      <c r="E11" s="5"/>
      <c r="F11" s="5"/>
      <c r="G11" s="5"/>
      <c r="H11" s="5"/>
      <c r="I11" s="5"/>
      <c r="J11" s="5"/>
      <c r="K11" s="5"/>
      <c r="L11" s="5"/>
      <c r="M11" s="5"/>
      <c r="N11" s="6"/>
    </row>
    <row r="12" spans="1:14" x14ac:dyDescent="0.3">
      <c r="A12" s="5"/>
      <c r="B12" s="5"/>
      <c r="C12" s="5"/>
      <c r="D12" s="5"/>
      <c r="E12" s="5"/>
      <c r="F12" s="5"/>
      <c r="G12" s="5"/>
      <c r="H12" s="5"/>
      <c r="I12" s="5"/>
      <c r="J12" s="5"/>
      <c r="K12" s="5"/>
      <c r="L12" s="5"/>
      <c r="M12" s="5"/>
      <c r="N12" s="6"/>
    </row>
    <row r="13" spans="1:14" x14ac:dyDescent="0.3">
      <c r="A13" s="5"/>
      <c r="B13" s="5"/>
      <c r="C13" s="5"/>
      <c r="D13" s="5"/>
      <c r="E13" s="5"/>
      <c r="F13" s="5"/>
      <c r="G13" s="5"/>
      <c r="H13" s="5"/>
      <c r="I13" s="5"/>
      <c r="J13" s="5"/>
      <c r="K13" s="5"/>
      <c r="L13" s="5"/>
      <c r="M13" s="5"/>
      <c r="N13" s="6"/>
    </row>
    <row r="14" spans="1:14" x14ac:dyDescent="0.3">
      <c r="A14" s="5"/>
      <c r="B14" s="5"/>
      <c r="C14" s="5"/>
      <c r="D14" s="5"/>
      <c r="E14" s="5"/>
      <c r="F14" s="5"/>
      <c r="G14" s="5"/>
      <c r="H14" s="5"/>
      <c r="I14" s="5"/>
      <c r="J14" s="5"/>
      <c r="K14" s="5"/>
      <c r="L14" s="5"/>
      <c r="M14" s="5"/>
      <c r="N14" s="6"/>
    </row>
    <row r="15" spans="1:14" x14ac:dyDescent="0.3">
      <c r="A15" s="5"/>
      <c r="B15" s="5"/>
      <c r="C15" s="5"/>
      <c r="D15" s="5"/>
      <c r="E15" s="5"/>
      <c r="F15" s="5"/>
      <c r="G15" s="5"/>
      <c r="H15" s="5"/>
      <c r="I15" s="5"/>
      <c r="J15" s="5"/>
      <c r="K15" s="5"/>
      <c r="L15" s="5"/>
      <c r="M15" s="5"/>
      <c r="N15" s="6"/>
    </row>
    <row r="16" spans="1:14" x14ac:dyDescent="0.3">
      <c r="A16" s="5"/>
      <c r="B16" s="5"/>
      <c r="C16" s="5"/>
      <c r="D16" s="5"/>
      <c r="E16" s="5"/>
      <c r="F16" s="5"/>
      <c r="G16" s="5"/>
      <c r="H16" s="5"/>
      <c r="I16" s="5"/>
      <c r="J16" s="5"/>
      <c r="K16" s="5"/>
      <c r="L16" s="5"/>
      <c r="M16" s="5"/>
      <c r="N16" s="6"/>
    </row>
    <row r="17" spans="1:14" x14ac:dyDescent="0.3">
      <c r="A17" s="6"/>
      <c r="B17" s="6"/>
      <c r="C17" s="6"/>
      <c r="D17" s="6"/>
      <c r="E17" s="6"/>
      <c r="F17" s="6"/>
      <c r="G17" s="6"/>
      <c r="H17" s="6"/>
      <c r="I17" s="6"/>
      <c r="J17" s="6"/>
      <c r="K17" s="6"/>
      <c r="L17" s="6"/>
      <c r="M17" s="6"/>
      <c r="N17" s="6"/>
    </row>
    <row r="18" spans="1:14" x14ac:dyDescent="0.3">
      <c r="A18" s="6"/>
      <c r="B18" s="6"/>
      <c r="C18" s="6"/>
      <c r="D18" s="6"/>
      <c r="E18" s="6"/>
      <c r="F18" s="6"/>
      <c r="G18" s="6"/>
      <c r="H18" s="6"/>
      <c r="I18" s="6"/>
      <c r="J18" s="6"/>
      <c r="K18" s="6"/>
      <c r="L18" s="6"/>
      <c r="M18" s="6"/>
      <c r="N18" s="6"/>
    </row>
    <row r="19" spans="1:14" x14ac:dyDescent="0.3">
      <c r="A19" s="6"/>
      <c r="B19" s="6"/>
      <c r="C19" s="6"/>
      <c r="D19" s="6"/>
      <c r="E19" s="6"/>
      <c r="F19" s="6"/>
      <c r="G19" s="6"/>
      <c r="H19" s="6"/>
      <c r="I19" s="6"/>
      <c r="J19" s="6"/>
      <c r="K19" s="6"/>
      <c r="L19" s="6"/>
      <c r="M19" s="6"/>
      <c r="N19" s="6"/>
    </row>
    <row r="20" spans="1:14" x14ac:dyDescent="0.3">
      <c r="A20" s="6"/>
      <c r="B20" s="6"/>
      <c r="C20" s="6"/>
      <c r="D20" s="6"/>
      <c r="E20" s="6"/>
      <c r="F20" s="6"/>
      <c r="G20" s="6"/>
      <c r="H20" s="6"/>
      <c r="I20" s="6"/>
      <c r="J20" s="6"/>
      <c r="K20" s="6"/>
      <c r="L20" s="6"/>
      <c r="M20" s="6"/>
      <c r="N20" s="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A8FB6-7E00-4388-B534-CD4FD0652959}">
  <dimension ref="A1:N20"/>
  <sheetViews>
    <sheetView zoomScale="154" workbookViewId="0"/>
  </sheetViews>
  <sheetFormatPr defaultRowHeight="14.4" x14ac:dyDescent="0.3"/>
  <sheetData>
    <row r="1" spans="1:14" x14ac:dyDescent="0.3">
      <c r="A1" s="3"/>
      <c r="B1" s="3"/>
      <c r="C1" s="3"/>
      <c r="D1" s="3"/>
      <c r="E1" s="3"/>
      <c r="F1" s="3"/>
      <c r="G1" s="3"/>
      <c r="H1" s="3"/>
      <c r="I1" s="3"/>
      <c r="J1" s="3"/>
      <c r="K1" s="3"/>
      <c r="L1" s="3"/>
      <c r="M1" s="3"/>
      <c r="N1" s="3"/>
    </row>
    <row r="2" spans="1:14" x14ac:dyDescent="0.3">
      <c r="A2" s="3"/>
      <c r="B2" s="3"/>
      <c r="C2" s="3"/>
      <c r="D2" s="3"/>
      <c r="E2" s="3"/>
      <c r="F2" s="3"/>
      <c r="G2" s="3"/>
      <c r="H2" s="3"/>
      <c r="I2" s="3"/>
      <c r="J2" s="3"/>
      <c r="K2" s="3"/>
      <c r="L2" s="3"/>
      <c r="M2" s="3"/>
      <c r="N2" s="3"/>
    </row>
    <row r="3" spans="1:14" x14ac:dyDescent="0.3">
      <c r="A3" s="3"/>
      <c r="B3" s="3"/>
      <c r="C3" s="3"/>
      <c r="D3" s="3"/>
      <c r="E3" s="3"/>
      <c r="F3" s="3"/>
      <c r="G3" s="3"/>
      <c r="H3" s="3"/>
      <c r="I3" s="3"/>
      <c r="J3" s="3"/>
      <c r="K3" s="3"/>
      <c r="L3" s="3"/>
      <c r="M3" s="3"/>
      <c r="N3" s="3"/>
    </row>
    <row r="4" spans="1:14" x14ac:dyDescent="0.3">
      <c r="A4" s="3"/>
      <c r="B4" s="3"/>
      <c r="C4" s="3"/>
      <c r="D4" s="3"/>
      <c r="E4" s="3"/>
      <c r="F4" s="3"/>
      <c r="G4" s="3"/>
      <c r="H4" s="3"/>
      <c r="I4" s="3"/>
      <c r="J4" s="3"/>
      <c r="K4" s="3"/>
      <c r="L4" s="3"/>
      <c r="M4" s="3"/>
      <c r="N4" s="3"/>
    </row>
    <row r="5" spans="1:14" x14ac:dyDescent="0.3">
      <c r="A5" s="3"/>
      <c r="B5" s="3"/>
      <c r="C5" s="3"/>
      <c r="D5" s="3"/>
      <c r="E5" s="3"/>
      <c r="F5" s="3"/>
      <c r="G5" s="3"/>
      <c r="H5" s="3"/>
      <c r="I5" s="3"/>
      <c r="J5" s="3"/>
      <c r="K5" s="3"/>
      <c r="L5" s="3"/>
      <c r="M5" s="3"/>
      <c r="N5" s="3"/>
    </row>
    <row r="6" spans="1:14" x14ac:dyDescent="0.3">
      <c r="A6" s="3"/>
      <c r="B6" s="3"/>
      <c r="C6" s="3"/>
      <c r="D6" s="3"/>
      <c r="E6" s="3"/>
      <c r="F6" s="3"/>
      <c r="G6" s="3"/>
      <c r="H6" s="3"/>
      <c r="I6" s="3"/>
      <c r="J6" s="3"/>
      <c r="K6" s="3"/>
      <c r="L6" s="3"/>
      <c r="M6" s="3"/>
      <c r="N6" s="3"/>
    </row>
    <row r="7" spans="1:14" x14ac:dyDescent="0.3">
      <c r="A7" s="3"/>
      <c r="B7" s="3"/>
      <c r="C7" s="3"/>
      <c r="D7" s="3"/>
      <c r="E7" s="3"/>
      <c r="F7" s="3"/>
      <c r="G7" s="3"/>
      <c r="H7" s="3"/>
      <c r="I7" s="3"/>
      <c r="J7" s="3"/>
      <c r="K7" s="3"/>
      <c r="L7" s="3"/>
      <c r="M7" s="3"/>
      <c r="N7" s="3"/>
    </row>
    <row r="8" spans="1:14" x14ac:dyDescent="0.3">
      <c r="A8" s="3"/>
      <c r="B8" s="3"/>
      <c r="C8" s="3"/>
      <c r="D8" s="3"/>
      <c r="E8" s="3"/>
      <c r="F8" s="3"/>
      <c r="G8" s="3"/>
      <c r="H8" s="3"/>
      <c r="I8" s="3"/>
      <c r="J8" s="3"/>
      <c r="K8" s="3"/>
      <c r="L8" s="3"/>
      <c r="M8" s="3"/>
      <c r="N8" s="3"/>
    </row>
    <row r="9" spans="1:14" x14ac:dyDescent="0.3">
      <c r="A9" s="3"/>
      <c r="B9" s="3"/>
      <c r="C9" s="3"/>
      <c r="D9" s="3"/>
      <c r="E9" s="3"/>
      <c r="F9" s="3"/>
      <c r="G9" s="3"/>
      <c r="H9" s="3"/>
      <c r="I9" s="3"/>
      <c r="J9" s="3"/>
      <c r="K9" s="3"/>
      <c r="L9" s="3"/>
      <c r="M9" s="3"/>
      <c r="N9" s="3"/>
    </row>
    <row r="10" spans="1:14" x14ac:dyDescent="0.3">
      <c r="A10" s="3"/>
      <c r="B10" s="3"/>
      <c r="C10" s="3"/>
      <c r="D10" s="3"/>
      <c r="E10" s="3"/>
      <c r="F10" s="3"/>
      <c r="G10" s="3"/>
      <c r="H10" s="3"/>
      <c r="I10" s="3"/>
      <c r="J10" s="3"/>
      <c r="K10" s="3"/>
      <c r="L10" s="3"/>
      <c r="M10" s="3"/>
      <c r="N10" s="3"/>
    </row>
    <row r="11" spans="1:14" x14ac:dyDescent="0.3">
      <c r="A11" s="3"/>
      <c r="B11" s="3"/>
      <c r="C11" s="3"/>
      <c r="D11" s="3"/>
      <c r="E11" s="3"/>
      <c r="F11" s="3"/>
      <c r="G11" s="3"/>
      <c r="H11" s="3"/>
      <c r="I11" s="3"/>
      <c r="J11" s="3"/>
      <c r="K11" s="3"/>
      <c r="L11" s="3"/>
      <c r="M11" s="3"/>
      <c r="N11" s="3"/>
    </row>
    <row r="12" spans="1:14" x14ac:dyDescent="0.3">
      <c r="A12" s="3"/>
      <c r="B12" s="3"/>
      <c r="C12" s="3"/>
      <c r="D12" s="3"/>
      <c r="E12" s="3"/>
      <c r="F12" s="3"/>
      <c r="G12" s="3"/>
      <c r="H12" s="3"/>
      <c r="I12" s="3"/>
      <c r="J12" s="3"/>
      <c r="K12" s="3"/>
      <c r="L12" s="3"/>
      <c r="M12" s="3"/>
      <c r="N12" s="3"/>
    </row>
    <row r="13" spans="1:14" x14ac:dyDescent="0.3">
      <c r="A13" s="3"/>
      <c r="B13" s="3"/>
      <c r="C13" s="3"/>
      <c r="D13" s="3"/>
      <c r="E13" s="3"/>
      <c r="F13" s="3"/>
      <c r="G13" s="3"/>
      <c r="H13" s="3"/>
      <c r="I13" s="3"/>
      <c r="J13" s="3"/>
      <c r="K13" s="3"/>
      <c r="L13" s="3"/>
      <c r="M13" s="3"/>
      <c r="N13" s="3"/>
    </row>
    <row r="14" spans="1:14" x14ac:dyDescent="0.3">
      <c r="A14" s="3"/>
      <c r="B14" s="3"/>
      <c r="C14" s="3"/>
      <c r="D14" s="3"/>
      <c r="E14" s="3"/>
      <c r="F14" s="3"/>
      <c r="G14" s="3"/>
      <c r="H14" s="3"/>
      <c r="I14" s="3"/>
      <c r="J14" s="3"/>
      <c r="K14" s="3"/>
      <c r="L14" s="3"/>
      <c r="M14" s="3"/>
      <c r="N14" s="3"/>
    </row>
    <row r="15" spans="1:14" x14ac:dyDescent="0.3">
      <c r="A15" s="3"/>
      <c r="B15" s="3"/>
      <c r="C15" s="3"/>
      <c r="D15" s="3"/>
      <c r="E15" s="3"/>
      <c r="F15" s="3"/>
      <c r="G15" s="3"/>
      <c r="H15" s="3"/>
      <c r="I15" s="3"/>
      <c r="J15" s="3"/>
      <c r="K15" s="3"/>
      <c r="L15" s="3"/>
      <c r="M15" s="3"/>
      <c r="N15" s="3"/>
    </row>
    <row r="16" spans="1:14" x14ac:dyDescent="0.3">
      <c r="A16" s="3"/>
      <c r="B16" s="3"/>
      <c r="C16" s="3"/>
      <c r="D16" s="3"/>
      <c r="E16" s="3"/>
      <c r="F16" s="3"/>
      <c r="G16" s="3"/>
      <c r="H16" s="3"/>
      <c r="I16" s="3"/>
      <c r="J16" s="3"/>
      <c r="K16" s="3"/>
      <c r="L16" s="3"/>
      <c r="M16" s="3"/>
      <c r="N16" s="3"/>
    </row>
    <row r="17" spans="1:14" x14ac:dyDescent="0.3">
      <c r="A17" s="3"/>
      <c r="B17" s="3"/>
      <c r="C17" s="3"/>
      <c r="D17" s="3"/>
      <c r="E17" s="3"/>
      <c r="F17" s="3"/>
      <c r="G17" s="3"/>
      <c r="H17" s="3"/>
      <c r="I17" s="3"/>
      <c r="J17" s="3"/>
      <c r="K17" s="3"/>
      <c r="L17" s="3"/>
      <c r="M17" s="3"/>
      <c r="N17" s="3"/>
    </row>
    <row r="18" spans="1:14" x14ac:dyDescent="0.3">
      <c r="A18" s="3"/>
      <c r="B18" s="3"/>
      <c r="C18" s="3"/>
      <c r="D18" s="3"/>
      <c r="E18" s="3"/>
      <c r="F18" s="3"/>
      <c r="G18" s="3"/>
      <c r="H18" s="3"/>
      <c r="I18" s="3"/>
      <c r="J18" s="3"/>
      <c r="K18" s="3"/>
      <c r="L18" s="3"/>
      <c r="M18" s="3"/>
      <c r="N18" s="3"/>
    </row>
    <row r="19" spans="1:14" x14ac:dyDescent="0.3">
      <c r="A19" s="3"/>
      <c r="B19" s="3"/>
      <c r="C19" s="3"/>
      <c r="D19" s="3"/>
      <c r="E19" s="3"/>
      <c r="F19" s="3"/>
      <c r="G19" s="3"/>
      <c r="H19" s="3"/>
      <c r="I19" s="3"/>
      <c r="J19" s="3"/>
      <c r="K19" s="3"/>
      <c r="L19" s="3"/>
      <c r="M19" s="3"/>
      <c r="N19" s="3"/>
    </row>
    <row r="20" spans="1:14" x14ac:dyDescent="0.3">
      <c r="A20" s="3"/>
      <c r="B20" s="3"/>
      <c r="C20" s="3"/>
      <c r="D20" s="3"/>
      <c r="E20" s="3"/>
      <c r="F20" s="3"/>
      <c r="G20" s="3"/>
      <c r="H20" s="3"/>
      <c r="I20" s="3"/>
      <c r="J20" s="3"/>
      <c r="K20" s="3"/>
      <c r="L20" s="3"/>
      <c r="M20" s="3"/>
      <c r="N20" s="3"/>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65142-276C-4EB8-A381-0948A55C2D0D}">
  <dimension ref="A1:N20"/>
  <sheetViews>
    <sheetView zoomScale="159" workbookViewId="0"/>
  </sheetViews>
  <sheetFormatPr defaultRowHeight="14.4" x14ac:dyDescent="0.3"/>
  <sheetData>
    <row r="1" spans="1:14" x14ac:dyDescent="0.3">
      <c r="A1" s="3"/>
      <c r="B1" s="3"/>
      <c r="C1" s="3"/>
      <c r="D1" s="3"/>
      <c r="E1" s="3"/>
      <c r="F1" s="3"/>
      <c r="G1" s="3"/>
      <c r="H1" s="3"/>
      <c r="I1" s="3"/>
      <c r="J1" s="3"/>
      <c r="K1" s="3"/>
      <c r="L1" s="3"/>
      <c r="M1" s="3"/>
      <c r="N1" s="3"/>
    </row>
    <row r="2" spans="1:14" x14ac:dyDescent="0.3">
      <c r="A2" s="3"/>
      <c r="B2" s="3"/>
      <c r="C2" s="3"/>
      <c r="D2" s="3"/>
      <c r="E2" s="3"/>
      <c r="F2" s="3"/>
      <c r="G2" s="3"/>
      <c r="H2" s="3"/>
      <c r="I2" s="3"/>
      <c r="J2" s="3"/>
      <c r="K2" s="3"/>
      <c r="L2" s="3"/>
      <c r="M2" s="3"/>
      <c r="N2" s="3"/>
    </row>
    <row r="3" spans="1:14" x14ac:dyDescent="0.3">
      <c r="A3" s="3"/>
      <c r="B3" s="3"/>
      <c r="C3" s="3"/>
      <c r="D3" s="3"/>
      <c r="E3" s="3"/>
      <c r="F3" s="3"/>
      <c r="G3" s="3"/>
      <c r="H3" s="3"/>
      <c r="I3" s="3"/>
      <c r="J3" s="3"/>
      <c r="K3" s="3"/>
      <c r="L3" s="3"/>
      <c r="M3" s="3"/>
      <c r="N3" s="3"/>
    </row>
    <row r="4" spans="1:14" x14ac:dyDescent="0.3">
      <c r="A4" s="3"/>
      <c r="B4" s="3"/>
      <c r="C4" s="3"/>
      <c r="D4" s="3"/>
      <c r="E4" s="3"/>
      <c r="F4" s="3"/>
      <c r="G4" s="3"/>
      <c r="H4" s="3"/>
      <c r="I4" s="3"/>
      <c r="J4" s="3"/>
      <c r="K4" s="3"/>
      <c r="L4" s="3"/>
      <c r="M4" s="3"/>
      <c r="N4" s="3"/>
    </row>
    <row r="5" spans="1:14" x14ac:dyDescent="0.3">
      <c r="A5" s="3"/>
      <c r="B5" s="3"/>
      <c r="C5" s="3"/>
      <c r="D5" s="3"/>
      <c r="E5" s="3"/>
      <c r="F5" s="3"/>
      <c r="G5" s="3"/>
      <c r="H5" s="3"/>
      <c r="I5" s="3"/>
      <c r="J5" s="3"/>
      <c r="K5" s="3"/>
      <c r="L5" s="3"/>
      <c r="M5" s="3"/>
      <c r="N5" s="3"/>
    </row>
    <row r="6" spans="1:14" x14ac:dyDescent="0.3">
      <c r="A6" s="3"/>
      <c r="B6" s="3"/>
      <c r="C6" s="3"/>
      <c r="D6" s="3"/>
      <c r="E6" s="3"/>
      <c r="F6" s="3"/>
      <c r="G6" s="3"/>
      <c r="H6" s="3"/>
      <c r="I6" s="3"/>
      <c r="J6" s="3"/>
      <c r="K6" s="3"/>
      <c r="L6" s="3"/>
      <c r="M6" s="3"/>
      <c r="N6" s="3"/>
    </row>
    <row r="7" spans="1:14" x14ac:dyDescent="0.3">
      <c r="A7" s="3"/>
      <c r="B7" s="3"/>
      <c r="C7" s="3"/>
      <c r="D7" s="3"/>
      <c r="E7" s="3"/>
      <c r="F7" s="3"/>
      <c r="G7" s="3"/>
      <c r="H7" s="3"/>
      <c r="I7" s="3"/>
      <c r="J7" s="3"/>
      <c r="K7" s="3"/>
      <c r="L7" s="3"/>
      <c r="M7" s="3"/>
      <c r="N7" s="3"/>
    </row>
    <row r="8" spans="1:14" x14ac:dyDescent="0.3">
      <c r="A8" s="3"/>
      <c r="B8" s="3"/>
      <c r="C8" s="3"/>
      <c r="D8" s="3"/>
      <c r="E8" s="3"/>
      <c r="F8" s="3"/>
      <c r="G8" s="3"/>
      <c r="H8" s="3"/>
      <c r="I8" s="3"/>
      <c r="J8" s="3"/>
      <c r="K8" s="3"/>
      <c r="L8" s="3"/>
      <c r="M8" s="3"/>
      <c r="N8" s="3"/>
    </row>
    <row r="9" spans="1:14" x14ac:dyDescent="0.3">
      <c r="A9" s="3"/>
      <c r="B9" s="3"/>
      <c r="C9" s="3"/>
      <c r="D9" s="3"/>
      <c r="E9" s="3"/>
      <c r="F9" s="3"/>
      <c r="G9" s="3"/>
      <c r="H9" s="3"/>
      <c r="I9" s="3"/>
      <c r="J9" s="3"/>
      <c r="K9" s="3"/>
      <c r="L9" s="3"/>
      <c r="M9" s="3"/>
      <c r="N9" s="3"/>
    </row>
    <row r="10" spans="1:14" x14ac:dyDescent="0.3">
      <c r="A10" s="3"/>
      <c r="B10" s="3"/>
      <c r="C10" s="3"/>
      <c r="D10" s="3"/>
      <c r="E10" s="3"/>
      <c r="F10" s="3"/>
      <c r="G10" s="3"/>
      <c r="H10" s="3"/>
      <c r="I10" s="3"/>
      <c r="J10" s="3"/>
      <c r="K10" s="3"/>
      <c r="L10" s="3"/>
      <c r="M10" s="3"/>
      <c r="N10" s="3"/>
    </row>
    <row r="11" spans="1:14" x14ac:dyDescent="0.3">
      <c r="A11" s="3"/>
      <c r="B11" s="3"/>
      <c r="C11" s="3"/>
      <c r="D11" s="3"/>
      <c r="E11" s="3"/>
      <c r="F11" s="3"/>
      <c r="G11" s="3"/>
      <c r="H11" s="3"/>
      <c r="I11" s="3"/>
      <c r="J11" s="3"/>
      <c r="K11" s="3"/>
      <c r="L11" s="3"/>
      <c r="M11" s="3"/>
      <c r="N11" s="3"/>
    </row>
    <row r="12" spans="1:14" x14ac:dyDescent="0.3">
      <c r="A12" s="3"/>
      <c r="B12" s="3"/>
      <c r="C12" s="3"/>
      <c r="D12" s="3"/>
      <c r="E12" s="3"/>
      <c r="F12" s="3"/>
      <c r="G12" s="3"/>
      <c r="H12" s="3"/>
      <c r="I12" s="3"/>
      <c r="J12" s="3"/>
      <c r="K12" s="3"/>
      <c r="L12" s="3"/>
      <c r="M12" s="3"/>
      <c r="N12" s="3"/>
    </row>
    <row r="13" spans="1:14" x14ac:dyDescent="0.3">
      <c r="A13" s="3"/>
      <c r="B13" s="3"/>
      <c r="C13" s="3"/>
      <c r="D13" s="3"/>
      <c r="E13" s="3"/>
      <c r="F13" s="3"/>
      <c r="G13" s="3"/>
      <c r="H13" s="3"/>
      <c r="I13" s="3"/>
      <c r="J13" s="3"/>
      <c r="K13" s="3"/>
      <c r="L13" s="3"/>
      <c r="M13" s="3"/>
      <c r="N13" s="3"/>
    </row>
    <row r="14" spans="1:14" x14ac:dyDescent="0.3">
      <c r="A14" s="3"/>
      <c r="B14" s="3"/>
      <c r="C14" s="3"/>
      <c r="D14" s="3"/>
      <c r="E14" s="3"/>
      <c r="F14" s="3"/>
      <c r="G14" s="3"/>
      <c r="H14" s="3"/>
      <c r="I14" s="3"/>
      <c r="J14" s="3"/>
      <c r="K14" s="3"/>
      <c r="L14" s="3"/>
      <c r="M14" s="3"/>
      <c r="N14" s="3"/>
    </row>
    <row r="15" spans="1:14" x14ac:dyDescent="0.3">
      <c r="A15" s="3"/>
      <c r="B15" s="3"/>
      <c r="C15" s="3"/>
      <c r="D15" s="3"/>
      <c r="E15" s="3"/>
      <c r="F15" s="3"/>
      <c r="G15" s="3"/>
      <c r="H15" s="3"/>
      <c r="I15" s="3"/>
      <c r="J15" s="3"/>
      <c r="K15" s="3"/>
      <c r="L15" s="3"/>
      <c r="M15" s="3"/>
      <c r="N15" s="3"/>
    </row>
    <row r="16" spans="1:14" x14ac:dyDescent="0.3">
      <c r="A16" s="3"/>
      <c r="B16" s="3"/>
      <c r="C16" s="3"/>
      <c r="D16" s="3"/>
      <c r="E16" s="3"/>
      <c r="F16" s="3"/>
      <c r="G16" s="3"/>
      <c r="H16" s="3"/>
      <c r="I16" s="3"/>
      <c r="J16" s="3"/>
      <c r="K16" s="3"/>
      <c r="L16" s="3"/>
      <c r="M16" s="3"/>
      <c r="N16" s="3"/>
    </row>
    <row r="17" spans="1:14" x14ac:dyDescent="0.3">
      <c r="A17" s="3"/>
      <c r="B17" s="3"/>
      <c r="C17" s="3"/>
      <c r="D17" s="3"/>
      <c r="E17" s="3"/>
      <c r="F17" s="3"/>
      <c r="G17" s="3"/>
      <c r="H17" s="3"/>
      <c r="I17" s="3"/>
      <c r="J17" s="3"/>
      <c r="K17" s="3"/>
      <c r="L17" s="3"/>
      <c r="M17" s="3"/>
      <c r="N17" s="3"/>
    </row>
    <row r="18" spans="1:14" x14ac:dyDescent="0.3">
      <c r="A18" s="3"/>
      <c r="B18" s="3"/>
      <c r="C18" s="3"/>
      <c r="D18" s="3"/>
      <c r="E18" s="3"/>
      <c r="F18" s="3"/>
      <c r="G18" s="3"/>
      <c r="H18" s="3"/>
      <c r="I18" s="3"/>
      <c r="J18" s="3"/>
      <c r="K18" s="3"/>
      <c r="L18" s="3"/>
      <c r="M18" s="3"/>
      <c r="N18" s="3"/>
    </row>
    <row r="19" spans="1:14" x14ac:dyDescent="0.3">
      <c r="A19" s="3"/>
      <c r="B19" s="3"/>
      <c r="C19" s="3"/>
      <c r="D19" s="3"/>
      <c r="E19" s="3"/>
      <c r="F19" s="3"/>
      <c r="G19" s="3"/>
      <c r="H19" s="3"/>
      <c r="I19" s="3"/>
      <c r="J19" s="3"/>
      <c r="K19" s="3"/>
      <c r="L19" s="3"/>
      <c r="M19" s="3"/>
      <c r="N19" s="3"/>
    </row>
    <row r="20" spans="1:14" x14ac:dyDescent="0.3">
      <c r="A20" s="3"/>
      <c r="B20" s="3"/>
      <c r="C20" s="3"/>
      <c r="D20" s="3"/>
      <c r="E20" s="3"/>
      <c r="F20" s="3"/>
      <c r="G20" s="3"/>
      <c r="H20" s="3"/>
      <c r="I20" s="3"/>
      <c r="J20" s="3"/>
      <c r="K20" s="3"/>
      <c r="L20" s="3"/>
      <c r="M20" s="3"/>
      <c r="N20" s="3"/>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Props1.xml><?xml version="1.0" encoding="utf-8"?>
<ds:datastoreItem xmlns:ds="http://schemas.openxmlformats.org/officeDocument/2006/customXml" ds:itemID="{F1F2BF0E-53E5-4E9F-8AB7-111105E37CEC}">
  <ds:schemaRefs/>
</ds:datastoreItem>
</file>

<file path=customXml/itemProps2.xml><?xml version="1.0" encoding="utf-8"?>
<ds:datastoreItem xmlns:ds="http://schemas.openxmlformats.org/officeDocument/2006/customXml" ds:itemID="{5826138B-8C9B-412F-B7C1-407CD36EE556}">
  <ds:schemaRefs/>
</ds:datastoreItem>
</file>

<file path=customXml/itemProps3.xml><?xml version="1.0" encoding="utf-8"?>
<ds:datastoreItem xmlns:ds="http://schemas.openxmlformats.org/officeDocument/2006/customXml" ds:itemID="{555B8EE9-D5E3-4374-A057-91CB61E8422A}">
  <ds:schemaRefs/>
</ds:datastoreItem>
</file>

<file path=customXml/itemProps4.xml><?xml version="1.0" encoding="utf-8"?>
<ds:datastoreItem xmlns:ds="http://schemas.openxmlformats.org/officeDocument/2006/customXml" ds:itemID="{9EF813D4-F709-422A-BEA6-75493768F3A8}">
  <ds:schemaRefs/>
</ds:datastoreItem>
</file>

<file path=customXml/itemProps5.xml><?xml version="1.0" encoding="utf-8"?>
<ds:datastoreItem xmlns:ds="http://schemas.openxmlformats.org/officeDocument/2006/customXml" ds:itemID="{EB4C94EC-2A08-4ADD-8C89-1842F9D8EEEB}">
  <ds:schemaRefs/>
</ds:datastoreItem>
</file>

<file path=customXml/itemProps6.xml><?xml version="1.0" encoding="utf-8"?>
<ds:datastoreItem xmlns:ds="http://schemas.openxmlformats.org/officeDocument/2006/customXml" ds:itemID="{EF52359D-DFC7-4EEF-8A80-26CE19749C35}">
  <ds:schemaRefs/>
</ds:datastoreItem>
</file>

<file path=customXml/itemProps7.xml><?xml version="1.0" encoding="utf-8"?>
<ds:datastoreItem xmlns:ds="http://schemas.openxmlformats.org/officeDocument/2006/customXml" ds:itemID="{C06699A6-46D4-4CF0-B446-555FDAD4D141}">
  <ds:schemaRefs/>
</ds:datastoreItem>
</file>

<file path=customXml/itemProps8.xml><?xml version="1.0" encoding="utf-8"?>
<ds:datastoreItem xmlns:ds="http://schemas.openxmlformats.org/officeDocument/2006/customXml" ds:itemID="{F962C5E4-9AEC-43E3-A9E3-0B015A4D0F73}">
  <ds:schemaRefs/>
</ds:datastoreItem>
</file>

<file path=customXml/itemProps9.xml><?xml version="1.0" encoding="utf-8"?>
<ds:datastoreItem xmlns:ds="http://schemas.openxmlformats.org/officeDocument/2006/customXml" ds:itemID="{D5671AAF-C4B7-498A-847F-573043F5B23D}">
  <ds:schemaRefs>
    <ds:schemaRef ds:uri="http://schemas.microsoft.com/DataMashup"/>
  </ds:schemaRefs>
</ds:datastoreItem>
</file>

<file path=customXml/itemProps10.xml><?xml version="1.0" encoding="utf-8"?>
<ds:datastoreItem xmlns:ds="http://schemas.openxmlformats.org/officeDocument/2006/customXml" ds:itemID="{AFC38764-8BFE-46CF-92F4-15470D3609C5}">
  <ds:schemaRefs/>
</ds:datastoreItem>
</file>

<file path=customXml/itemProps11.xml><?xml version="1.0" encoding="utf-8"?>
<ds:datastoreItem xmlns:ds="http://schemas.openxmlformats.org/officeDocument/2006/customXml" ds:itemID="{AD48D566-7229-4A14-B7D1-67E2E29E363B}">
  <ds:schemaRefs/>
</ds:datastoreItem>
</file>

<file path=customXml/itemProps12.xml><?xml version="1.0" encoding="utf-8"?>
<ds:datastoreItem xmlns:ds="http://schemas.openxmlformats.org/officeDocument/2006/customXml" ds:itemID="{6DCBC9BF-7683-4EEC-861B-6CFD84F00040}">
  <ds:schemaRefs/>
</ds:datastoreItem>
</file>

<file path=customXml/itemProps13.xml><?xml version="1.0" encoding="utf-8"?>
<ds:datastoreItem xmlns:ds="http://schemas.openxmlformats.org/officeDocument/2006/customXml" ds:itemID="{0F73E024-D789-4A70-9F61-8B11BDE494C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Patients</vt:lpstr>
      <vt:lpstr>Average Daily Wait Time Trend</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 Tejeendra</dc:creator>
  <cp:lastModifiedBy>A Tejeendra</cp:lastModifiedBy>
  <dcterms:created xsi:type="dcterms:W3CDTF">2026-03-28T18:26:23Z</dcterms:created>
  <dcterms:modified xsi:type="dcterms:W3CDTF">2026-03-29T11:23:36Z</dcterms:modified>
</cp:coreProperties>
</file>