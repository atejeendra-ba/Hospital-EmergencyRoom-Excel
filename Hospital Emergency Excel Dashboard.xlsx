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tejee\Downloads\"/>
    </mc:Choice>
  </mc:AlternateContent>
  <xr:revisionPtr revIDLastSave="0" documentId="13_ncr:1_{CE8E732B-A050-4897-8752-A0661C75C7CF}" xr6:coauthVersionLast="47" xr6:coauthVersionMax="47" xr10:uidLastSave="{00000000-0000-0000-0000-000000000000}"/>
  <bookViews>
    <workbookView xWindow="-108" yWindow="-108" windowWidth="23256" windowHeight="12456" xr2:uid="{06F80221-4928-4851-8CA3-A4460DC780AB}"/>
  </bookViews>
  <sheets>
    <sheet name="Dashboard" sheetId="2" r:id="rId1"/>
    <sheet name="Daily ER No. Of Patients" sheetId="3" r:id="rId2"/>
    <sheet name="Average Daily Wait Time Trend" sheetId="4" r:id="rId3"/>
    <sheet name="Satisfaction Score Daily Trend" sheetId="5" r:id="rId4"/>
    <sheet name="Pivot Report" sheetId="1" r:id="rId5"/>
  </sheets>
  <definedNames>
    <definedName name="Slicer_Date__Month">#N/A</definedName>
    <definedName name="Slicer_Date__Year">#N/A</definedName>
  </definedNames>
  <calcPr calcId="191029"/>
  <pivotCaches>
    <pivotCache cacheId="2663" r:id="rId6"/>
    <pivotCache cacheId="2666" r:id="rId7"/>
    <pivotCache cacheId="2669" r:id="rId8"/>
    <pivotCache cacheId="2672" r:id="rId9"/>
    <pivotCache cacheId="2675" r:id="rId10"/>
    <pivotCache cacheId="2678" r:id="rId11"/>
    <pivotCache cacheId="2681" r:id="rId12"/>
    <pivotCache cacheId="2684" r:id="rId13"/>
    <pivotCache cacheId="2687" r:id="rId14"/>
    <pivotCache cacheId="2690" r:id="rId15"/>
    <pivotCache cacheId="2693" r:id="rId16"/>
    <pivotCache cacheId="2696" r:id="rId17"/>
  </pivotCaches>
  <extLst>
    <ext xmlns:x14="http://schemas.microsoft.com/office/spreadsheetml/2009/9/main" uri="{876F7934-8845-4945-9796-88D515C7AA90}">
      <x14:pivotCaches>
        <pivotCache cacheId="567" r:id="rId18"/>
        <pivotCache cacheId="671"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444caf9e-9cb9-4ac2-9b4b-7df3a2ab02c0" name="Hospital Emergency Room Data" connection="Query - Hospital Emergency Room Data"/>
          <x15:modelTable id="Calender_Table_41afb79d-95ed-454a-9eed-d9e6e75b849c" name="Calender_Table" connection="Query - Calender_Table"/>
        </x15:modelTables>
        <x15:modelRelationships>
          <x15:modelRelationship fromTable="Hospital Emergency Room Data" fromColumn="Patient Admission Date" toTable="Calender_Table" toColumn="Date"/>
        </x15:modelRelationships>
        <x15:extLst>
          <ext xmlns:x16="http://schemas.microsoft.com/office/spreadsheetml/2014/11/main" uri="{9835A34E-60A6-4A7C-AAB8-D5F71C897F49}">
            <x16:modelTimeGroupings>
              <x16:modelTimeGrouping tableName="Calende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5" i="1" l="1"/>
  <c r="D26" i="1"/>
  <c r="D25" i="1"/>
  <c r="C26" i="1"/>
  <c r="C25" i="1"/>
  <c r="B2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8C7EF50-718B-42F9-A6EE-4BA27420A8ED}" name="Query - Calender_Table" description="Connection to the 'Calender_Table' query in the workbook." type="100" refreshedVersion="8" minRefreshableVersion="5">
    <extLst>
      <ext xmlns:x15="http://schemas.microsoft.com/office/spreadsheetml/2010/11/main" uri="{DE250136-89BD-433C-8126-D09CA5730AF9}">
        <x15:connection id="99bd1560-4114-415a-9d14-d1813cbaef50"/>
      </ext>
    </extLst>
  </connection>
  <connection id="2" xr16:uid="{DB3784C4-0B38-4D90-9FCC-1C558A68391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d5cb4bae-0069-42d7-8069-faa29aa38b42"/>
      </ext>
    </extLst>
  </connection>
  <connection id="3" xr16:uid="{C1D2C532-304D-4728-BD6E-021C4822043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<sst xmlns="http://schemas.openxmlformats.org/spreadsheetml/2006/main" count="150" uniqueCount="69">
  <si>
    <t>Distinct Count of Patient Id</t>
  </si>
  <si>
    <t>Average of Patient Waittime</t>
  </si>
  <si>
    <t>Average of Patient Satisfaction Score</t>
  </si>
  <si>
    <t>Row Labels</t>
  </si>
  <si>
    <t>Grand Total</t>
  </si>
  <si>
    <t>Count of Patient Admission Flag</t>
  </si>
  <si>
    <t>Admitted</t>
  </si>
  <si>
    <t>Not Admitted</t>
  </si>
  <si>
    <t>Count of Patient Admission Flag2</t>
  </si>
  <si>
    <t>Admission Status</t>
  </si>
  <si>
    <t>No. Of Patient</t>
  </si>
  <si>
    <t>% Status</t>
  </si>
  <si>
    <t>0-09</t>
  </si>
  <si>
    <t>10-19</t>
  </si>
  <si>
    <t>20-29</t>
  </si>
  <si>
    <t>30-39</t>
  </si>
  <si>
    <t>40-49</t>
  </si>
  <si>
    <t>50-59</t>
  </si>
  <si>
    <t>60-69</t>
  </si>
  <si>
    <t>70-79</t>
  </si>
  <si>
    <t>Count of Age Group</t>
  </si>
  <si>
    <t>1-Jan</t>
  </si>
  <si>
    <t>2-Jan</t>
  </si>
  <si>
    <t>3-Jan</t>
  </si>
  <si>
    <t>4-Jan</t>
  </si>
  <si>
    <t>5-Jan</t>
  </si>
  <si>
    <t>6-Jan</t>
  </si>
  <si>
    <t>7-Jan</t>
  </si>
  <si>
    <t>8-Jan</t>
  </si>
  <si>
    <t>9-Jan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</si>
  <si>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</si>
  <si>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</si>
  <si>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</si>
  <si>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</si>
  <si>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</si>
  <si>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</si>
  <si>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</si>
  <si>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</si>
  <si>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</si>
  <si>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</si>
  <si>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</si>
  <si>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</si>
  <si>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</si>
  <si>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</si>
  <si>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</si>
  <si>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</si>
  <si>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</si>
  <si>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</si>
  <si>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</si>
  <si>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</si>
  <si>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</si>
  <si>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</si>
  <si>
    <t>Delay</t>
  </si>
  <si>
    <t>Ontime</t>
  </si>
  <si>
    <t>Count of Patient Attend Status</t>
  </si>
  <si>
    <t>Female</t>
  </si>
  <si>
    <t>Male</t>
  </si>
  <si>
    <t>Count of Patient Gender</t>
  </si>
  <si>
    <t>Gender wise Analysis</t>
  </si>
  <si>
    <t>Cardiology</t>
  </si>
  <si>
    <t>Gastroenterology</t>
  </si>
  <si>
    <t>General Practice</t>
  </si>
  <si>
    <t>Neurology</t>
  </si>
  <si>
    <t>None</t>
  </si>
  <si>
    <t>Orthopedics</t>
  </si>
  <si>
    <t>Physiotherapy</t>
  </si>
  <si>
    <t>Renal</t>
  </si>
  <si>
    <t>Count of Department Referral</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</si>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</sst>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sz val="11"/>
      <color theme="1"/>
      <name val="Calibri"/>
      <family val="2"/>
      <scheme val="minor"/>
    </font>
    <font>
      <sz val="11"/>
      <color theme="0"/>
      <name val="Calibri"/>
      <family val="2"/>
      <scheme val="minor"/>
    </font>
    <font>
      <u/>
      <sz val="11"/>
      <color theme="0"/>
      <name val="Calibri"/>
      <family val="2"/>
      <scheme val="minor"/>
    </font>
    <font>
      <u/>
      <sz val="11"/>
      <color theme="1"/>
      <name val="Calibri"/>
      <family val="2"/>
      <scheme val="minor"/>
    </font>
  </fonts>
  <fills count="5">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2" tint="-0.249977111117893"/>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6">
    <xf numFmtId="0" fontId="0" fillId="0" borderId="0" xfId="0"/>
    <xf numFmtId="0" fontId="0" fillId="0" borderId="0" xfId="0" pivotButton="1"/>
    <xf numFmtId="2" fontId="0" fillId="0" borderId="0" xfId="0" applyNumberFormat="1"/>
    <xf numFmtId="0" fontId="0" fillId="2" borderId="0" xfId="0" applyFill="1"/>
    <xf numFmtId="0" fontId="0" fillId="0" borderId="0" xfId="0" applyAlignment="1">
      <alignment horizontal="left"/>
    </xf>
    <xf numFmtId="0" fontId="3" fillId="2" borderId="0" xfId="0" applyFont="1" applyFill="1"/>
    <xf numFmtId="0" fontId="4" fillId="2" borderId="0" xfId="0" applyFont="1" applyFill="1"/>
    <xf numFmtId="1" fontId="0" fillId="0" borderId="0" xfId="0" applyNumberFormat="1"/>
    <xf numFmtId="10" fontId="0" fillId="0" borderId="0" xfId="0" applyNumberFormat="1"/>
    <xf numFmtId="0" fontId="0" fillId="3" borderId="0" xfId="0" applyFill="1" applyAlignment="1">
      <alignment horizontal="center"/>
    </xf>
    <xf numFmtId="10" fontId="0" fillId="3" borderId="0" xfId="1" applyNumberFormat="1" applyFont="1" applyFill="1" applyAlignment="1">
      <alignment horizontal="center"/>
    </xf>
    <xf numFmtId="0" fontId="0" fillId="3" borderId="0" xfId="0" applyFill="1"/>
    <xf numFmtId="0" fontId="2" fillId="4" borderId="0" xfId="0" applyFont="1" applyFill="1" applyAlignment="1">
      <alignment horizontal="center"/>
    </xf>
    <xf numFmtId="0" fontId="0" fillId="4" borderId="0" xfId="0" applyFill="1"/>
    <xf numFmtId="0" fontId="0" fillId="0" borderId="0" xfId="0" applyNumberFormat="1"/>
    <xf numFmtId="0" fontId="0" fillId="0" borderId="0" xfId="0" applyFill="1"/>
  </cellXfs>
  <cellStyles count="2">
    <cellStyle name="Normal" xfId="0" builtinId="0"/>
    <cellStyle name="Percent" xfId="1" builtinId="5"/>
  </cellStyles>
  <dxfs count="523">
    <dxf>
      <numFmt numFmtId="1" formatCode="0"/>
    </dxf>
    <dxf>
      <numFmt numFmtId="1" formatCode="0"/>
    </dxf>
    <dxf>
      <numFmt numFmtId="1" formatCode="0"/>
    </dxf>
    <dxf>
      <numFmt numFmtId="1" formatCode="0"/>
    </dxf>
    <dxf>
      <numFmt numFmtId="2" formatCode="0.00"/>
    </dxf>
    <dxf>
      <numFmt numFmtId="2" formatCode="0.00"/>
    </dxf>
    <dxf>
      <numFmt numFmtId="2" formatCode="0.00"/>
    </dxf>
    <dxf>
      <numFmt numFmtId="1" formatCode="0"/>
    </dxf>
    <dxf>
      <numFmt numFmtId="14"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2" formatCode="0.00"/>
    </dxf>
    <dxf>
      <numFmt numFmtId="2" formatCode="0.00"/>
    </dxf>
    <dxf>
      <numFmt numFmtId="14" formatCode="0.00%"/>
    </dxf>
    <dxf>
      <numFmt numFmtId="1" formatCode="0"/>
    </dxf>
    <dxf>
      <numFmt numFmtId="2" formatCode="0.00"/>
    </dxf>
    <dxf>
      <numFmt numFmtId="2" formatCode="0.00"/>
    </dxf>
    <dxf>
      <font>
        <b/>
        <color theme="1"/>
      </font>
      <border>
        <bottom style="thin">
          <color theme="9"/>
        </bottom>
        <vertical/>
        <horizontal/>
      </border>
    </dxf>
    <dxf>
      <font>
        <sz val="8"/>
        <color theme="1"/>
      </font>
      <fill>
        <patternFill patternType="solid">
          <fgColor auto="1"/>
          <bgColor auto="1"/>
        </patternFill>
      </fill>
      <border diagonalUp="0" diagonalDown="0">
        <left/>
        <right/>
        <top/>
        <bottom/>
        <vertical/>
        <horizontal/>
      </border>
    </dxf>
    <dxf>
      <font>
        <b/>
        <color theme="1"/>
      </font>
      <border>
        <bottom style="thin">
          <color theme="5"/>
        </bottom>
        <vertical/>
        <horizontal/>
      </border>
    </dxf>
    <dxf>
      <font>
        <sz val="9"/>
        <color theme="1"/>
      </font>
      <fill>
        <patternFill>
          <bgColor theme="0"/>
        </patternFill>
      </fill>
      <border diagonalUp="0" diagonalDown="0">
        <left/>
        <right/>
        <top/>
        <bottom/>
        <vertical/>
        <horizontal/>
      </border>
    </dxf>
  </dxfs>
  <tableStyles count="2" defaultTableStyle="TableStyleMedium2" defaultPivotStyle="PivotStyleLight16">
    <tableStyle name="My Slicer" pivot="0" table="0" count="10" xr9:uid="{F609D808-A5A6-4A2C-97D9-B6A571B24774}">
      <tableStyleElement type="wholeTable" dxfId="522"/>
      <tableStyleElement type="headerRow" dxfId="521"/>
    </tableStyle>
    <tableStyle name="My Style" pivot="0" table="0" count="10" xr9:uid="{0B8D6154-64F6-4D9C-9207-2DA01FCF2584}">
      <tableStyleElement type="wholeTable" dxfId="520"/>
      <tableStyleElement type="headerRow" dxfId="519"/>
    </tableStyle>
  </tableStyles>
  <colors>
    <mruColors>
      <color rgb="FFFF33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y Slicer">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2.xml"/><Relationship Id="rId34" Type="http://schemas.openxmlformats.org/officeDocument/2006/relationships/customXml" Target="../customXml/item7.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8" Type="http://schemas.openxmlformats.org/officeDocument/2006/relationships/pivotCacheDefinition" Target="pivotCache/pivotCacheDefinition3.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330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54478070501989E-2"/>
          <c:y val="0"/>
          <c:w val="0.86329104385899602"/>
          <c:h val="0.64899239506879625"/>
        </c:manualLayout>
      </c:layout>
      <c:areaChart>
        <c:grouping val="standard"/>
        <c:varyColors val="0"/>
        <c:ser>
          <c:idx val="0"/>
          <c:order val="0"/>
          <c:tx>
            <c:strRef>
              <c:f>'Pivot Report'!$H$5</c:f>
              <c:strCache>
                <c:ptCount val="1"/>
                <c:pt idx="0">
                  <c:v>Total</c:v>
                </c:pt>
              </c:strCache>
            </c:strRef>
          </c:tx>
          <c:spPr>
            <a:solidFill>
              <a:srgbClr val="FF3300"/>
            </a:solidFill>
            <a:ln w="25400">
              <a:noFill/>
            </a:ln>
            <a:effectLst/>
          </c:spPr>
          <c:cat>
            <c:strRef>
              <c:f>'Pivot Report'!$G$6:$G$37</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Report'!$H$6:$H$37</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5-F15A-4626-B126-B68731E0D261}"/>
            </c:ext>
          </c:extLst>
        </c:ser>
        <c:dLbls>
          <c:showLegendKey val="0"/>
          <c:showVal val="0"/>
          <c:showCatName val="0"/>
          <c:showSerName val="0"/>
          <c:showPercent val="0"/>
          <c:showBubbleSize val="0"/>
        </c:dLbls>
        <c:axId val="1935383455"/>
        <c:axId val="1935375295"/>
      </c:areaChart>
      <c:catAx>
        <c:axId val="1935383455"/>
        <c:scaling>
          <c:orientation val="minMax"/>
        </c:scaling>
        <c:delete val="1"/>
        <c:axPos val="b"/>
        <c:numFmt formatCode="General" sourceLinked="1"/>
        <c:majorTickMark val="out"/>
        <c:minorTickMark val="none"/>
        <c:tickLblPos val="nextTo"/>
        <c:crossAx val="1935375295"/>
        <c:crosses val="autoZero"/>
        <c:auto val="1"/>
        <c:lblAlgn val="ctr"/>
        <c:lblOffset val="100"/>
        <c:noMultiLvlLbl val="0"/>
      </c:catAx>
      <c:valAx>
        <c:axId val="1935375295"/>
        <c:scaling>
          <c:orientation val="minMax"/>
        </c:scaling>
        <c:delete val="1"/>
        <c:axPos val="l"/>
        <c:numFmt formatCode="General" sourceLinked="1"/>
        <c:majorTickMark val="none"/>
        <c:minorTickMark val="none"/>
        <c:tickLblPos val="nextTo"/>
        <c:crossAx val="193538345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Report!PivotTable5</c:name>
    <c:fmtId val="1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330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525396856282793E-3"/>
          <c:y val="3.9178259462956971E-2"/>
          <c:w val="0.99037772249045963"/>
          <c:h val="0.96082174053704306"/>
        </c:manualLayout>
      </c:layout>
      <c:areaChart>
        <c:grouping val="standard"/>
        <c:varyColors val="0"/>
        <c:ser>
          <c:idx val="0"/>
          <c:order val="0"/>
          <c:tx>
            <c:strRef>
              <c:f>'Pivot Report'!$K$5</c:f>
              <c:strCache>
                <c:ptCount val="1"/>
                <c:pt idx="0">
                  <c:v>Total</c:v>
                </c:pt>
              </c:strCache>
            </c:strRef>
          </c:tx>
          <c:spPr>
            <a:solidFill>
              <a:srgbClr val="FF3300"/>
            </a:solidFill>
            <a:ln w="25400">
              <a:noFill/>
            </a:ln>
            <a:effectLst/>
          </c:spPr>
          <c:cat>
            <c:strRef>
              <c:f>'Pivot Report'!$J$6:$J$37</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Report'!$K$6:$K$37</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5-AC00-41A4-BAEA-A9E18FE79B5E}"/>
            </c:ext>
          </c:extLst>
        </c:ser>
        <c:dLbls>
          <c:showLegendKey val="0"/>
          <c:showVal val="0"/>
          <c:showCatName val="0"/>
          <c:showSerName val="0"/>
          <c:showPercent val="0"/>
          <c:showBubbleSize val="0"/>
        </c:dLbls>
        <c:axId val="68399392"/>
        <c:axId val="68399872"/>
      </c:areaChart>
      <c:catAx>
        <c:axId val="68399392"/>
        <c:scaling>
          <c:orientation val="minMax"/>
        </c:scaling>
        <c:delete val="1"/>
        <c:axPos val="b"/>
        <c:numFmt formatCode="General" sourceLinked="1"/>
        <c:majorTickMark val="out"/>
        <c:minorTickMark val="none"/>
        <c:tickLblPos val="nextTo"/>
        <c:crossAx val="68399872"/>
        <c:crosses val="autoZero"/>
        <c:auto val="1"/>
        <c:lblAlgn val="ctr"/>
        <c:lblOffset val="100"/>
        <c:noMultiLvlLbl val="0"/>
      </c:catAx>
      <c:valAx>
        <c:axId val="68399872"/>
        <c:scaling>
          <c:orientation val="minMax"/>
        </c:scaling>
        <c:delete val="1"/>
        <c:axPos val="l"/>
        <c:numFmt formatCode="0.00" sourceLinked="1"/>
        <c:majorTickMark val="none"/>
        <c:minorTickMark val="none"/>
        <c:tickLblPos val="nextTo"/>
        <c:crossAx val="683993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Report!PivotTable6</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330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45740620155792155"/>
          <c:w val="1"/>
          <c:h val="0.54259379844207845"/>
        </c:manualLayout>
      </c:layout>
      <c:areaChart>
        <c:grouping val="standard"/>
        <c:varyColors val="0"/>
        <c:ser>
          <c:idx val="0"/>
          <c:order val="0"/>
          <c:tx>
            <c:strRef>
              <c:f>'Pivot Report'!$N$5</c:f>
              <c:strCache>
                <c:ptCount val="1"/>
                <c:pt idx="0">
                  <c:v>Total</c:v>
                </c:pt>
              </c:strCache>
            </c:strRef>
          </c:tx>
          <c:spPr>
            <a:solidFill>
              <a:srgbClr val="FF3300"/>
            </a:solidFill>
            <a:ln w="25400">
              <a:noFill/>
            </a:ln>
            <a:effectLst/>
          </c:spPr>
          <c:cat>
            <c:strRef>
              <c:f>'Pivot Report'!$M$6:$M$37</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Report'!$N$6:$N$37</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5-E5DE-4379-807B-BA0408D5B774}"/>
            </c:ext>
          </c:extLst>
        </c:ser>
        <c:dLbls>
          <c:showLegendKey val="0"/>
          <c:showVal val="0"/>
          <c:showCatName val="0"/>
          <c:showSerName val="0"/>
          <c:showPercent val="0"/>
          <c:showBubbleSize val="0"/>
        </c:dLbls>
        <c:axId val="1936462975"/>
        <c:axId val="1936465375"/>
      </c:areaChart>
      <c:catAx>
        <c:axId val="1936462975"/>
        <c:scaling>
          <c:orientation val="minMax"/>
        </c:scaling>
        <c:delete val="1"/>
        <c:axPos val="b"/>
        <c:numFmt formatCode="General" sourceLinked="1"/>
        <c:majorTickMark val="out"/>
        <c:minorTickMark val="none"/>
        <c:tickLblPos val="nextTo"/>
        <c:crossAx val="1936465375"/>
        <c:crosses val="autoZero"/>
        <c:auto val="1"/>
        <c:lblAlgn val="ctr"/>
        <c:lblOffset val="100"/>
        <c:noMultiLvlLbl val="0"/>
      </c:catAx>
      <c:valAx>
        <c:axId val="1936465375"/>
        <c:scaling>
          <c:orientation val="minMax"/>
        </c:scaling>
        <c:delete val="1"/>
        <c:axPos val="l"/>
        <c:numFmt formatCode="0.00" sourceLinked="1"/>
        <c:majorTickMark val="none"/>
        <c:minorTickMark val="none"/>
        <c:tickLblPos val="nextTo"/>
        <c:crossAx val="1936462975"/>
        <c:crosses val="autoZero"/>
        <c:crossBetween val="midCat"/>
      </c:valAx>
      <c:spPr>
        <a:noFill/>
        <a:ln w="25400">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Report!PivotTable8</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677126055531398E-3"/>
          <c:y val="4.7969414793766062E-2"/>
          <c:w val="0.99733218610333618"/>
          <c:h val="0.60171471840676127"/>
        </c:manualLayout>
      </c:layout>
      <c:barChart>
        <c:barDir val="col"/>
        <c:grouping val="clustered"/>
        <c:varyColors val="0"/>
        <c:ser>
          <c:idx val="0"/>
          <c:order val="0"/>
          <c:tx>
            <c:strRef>
              <c:f>'Pivot Report'!$C$30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Report'!$B$31:$B$39</c:f>
              <c:strCache>
                <c:ptCount val="8"/>
                <c:pt idx="0">
                  <c:v>0-09</c:v>
                </c:pt>
                <c:pt idx="1">
                  <c:v>10-19</c:v>
                </c:pt>
                <c:pt idx="2">
                  <c:v>20-29</c:v>
                </c:pt>
                <c:pt idx="3">
                  <c:v>30-39</c:v>
                </c:pt>
                <c:pt idx="4">
                  <c:v>40-49</c:v>
                </c:pt>
                <c:pt idx="5">
                  <c:v>50-59</c:v>
                </c:pt>
                <c:pt idx="6">
                  <c:v>60-69</c:v>
                </c:pt>
                <c:pt idx="7">
                  <c:v>70-79</c:v>
                </c:pt>
              </c:strCache>
            </c:strRef>
          </c:cat>
          <c:val>
            <c:numRef>
              <c:f>'Pivot Report'!$C$31:$C$39</c:f>
              <c:numCache>
                <c:formatCode>0</c:formatCode>
                <c:ptCount val="8"/>
                <c:pt idx="0">
                  <c:v>76</c:v>
                </c:pt>
                <c:pt idx="1">
                  <c:v>69</c:v>
                </c:pt>
                <c:pt idx="2">
                  <c:v>64</c:v>
                </c:pt>
                <c:pt idx="3">
                  <c:v>59</c:v>
                </c:pt>
                <c:pt idx="4">
                  <c:v>58</c:v>
                </c:pt>
                <c:pt idx="5">
                  <c:v>66</c:v>
                </c:pt>
                <c:pt idx="6">
                  <c:v>67</c:v>
                </c:pt>
                <c:pt idx="7">
                  <c:v>54</c:v>
                </c:pt>
              </c:numCache>
            </c:numRef>
          </c:val>
          <c:extLst>
            <c:ext xmlns:c16="http://schemas.microsoft.com/office/drawing/2014/chart" uri="{C3380CC4-5D6E-409C-BE32-E72D297353CC}">
              <c16:uniqueId val="{00000005-1A52-4CD4-B706-7B9A1E616AA1}"/>
            </c:ext>
          </c:extLst>
        </c:ser>
        <c:dLbls>
          <c:showLegendKey val="0"/>
          <c:showVal val="0"/>
          <c:showCatName val="0"/>
          <c:showSerName val="0"/>
          <c:showPercent val="0"/>
          <c:showBubbleSize val="0"/>
        </c:dLbls>
        <c:gapWidth val="219"/>
        <c:overlap val="-27"/>
        <c:axId val="337997104"/>
        <c:axId val="337996144"/>
      </c:barChart>
      <c:catAx>
        <c:axId val="337997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7996144"/>
        <c:crosses val="autoZero"/>
        <c:auto val="1"/>
        <c:lblAlgn val="ctr"/>
        <c:lblOffset val="100"/>
        <c:noMultiLvlLbl val="0"/>
      </c:catAx>
      <c:valAx>
        <c:axId val="337996144"/>
        <c:scaling>
          <c:orientation val="minMax"/>
        </c:scaling>
        <c:delete val="1"/>
        <c:axPos val="l"/>
        <c:numFmt formatCode="0" sourceLinked="1"/>
        <c:majorTickMark val="none"/>
        <c:minorTickMark val="none"/>
        <c:tickLblPos val="nextTo"/>
        <c:crossAx val="337997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Report!PivotTable9</c:name>
    <c:fmtId val="1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29279614287817735"/>
              <c:y val="-7.603927146365915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0.24060435053051951"/>
              <c:y val="7.603927146365900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5999047438752112"/>
          <c:y val="0.13571432144506715"/>
          <c:w val="0.64690177200431509"/>
          <c:h val="0.71793311245358271"/>
        </c:manualLayout>
      </c:layout>
      <c:pieChart>
        <c:varyColors val="1"/>
        <c:ser>
          <c:idx val="0"/>
          <c:order val="0"/>
          <c:tx>
            <c:strRef>
              <c:f>'Pivot Report'!$C$54</c:f>
              <c:strCache>
                <c:ptCount val="1"/>
                <c:pt idx="0">
                  <c:v>Total</c:v>
                </c:pt>
              </c:strCache>
            </c:strRef>
          </c:tx>
          <c:spPr>
            <a:effectLst/>
          </c:spPr>
          <c:dPt>
            <c:idx val="0"/>
            <c:bubble3D val="0"/>
            <c:spPr>
              <a:solidFill>
                <a:schemeClr val="accent1"/>
              </a:solidFill>
              <a:ln>
                <a:noFill/>
              </a:ln>
              <a:effectLst/>
            </c:spPr>
          </c:dPt>
          <c:dPt>
            <c:idx val="1"/>
            <c:bubble3D val="0"/>
            <c:spPr>
              <a:solidFill>
                <a:schemeClr val="accent2"/>
              </a:solidFill>
              <a:ln>
                <a:noFill/>
              </a:ln>
              <a:effectLst/>
            </c:spPr>
          </c:dPt>
          <c:dLbls>
            <c:dLbl>
              <c:idx val="0"/>
              <c:layout>
                <c:manualLayout>
                  <c:x val="-0.29279614287817735"/>
                  <c:y val="-7.6039271463659158E-2"/>
                </c:manualLayout>
              </c:layout>
              <c:dLblPos val="bestFit"/>
              <c:showLegendKey val="0"/>
              <c:showVal val="0"/>
              <c:showCatName val="0"/>
              <c:showSerName val="0"/>
              <c:showPercent val="1"/>
              <c:showBubbleSize val="0"/>
              <c:extLst>
                <c:ext xmlns:c15="http://schemas.microsoft.com/office/drawing/2012/chart" uri="{CE6537A1-D6FC-4f65-9D91-7224C49458BB}"/>
              </c:extLst>
            </c:dLbl>
            <c:dLbl>
              <c:idx val="1"/>
              <c:layout>
                <c:manualLayout>
                  <c:x val="0.24060435053051951"/>
                  <c:y val="7.6039271463659006E-2"/>
                </c:manualLayout>
              </c:layout>
              <c:dLblPos val="bestFit"/>
              <c:showLegendKey val="0"/>
              <c:showVal val="0"/>
              <c:showCatName val="0"/>
              <c:showSerName val="0"/>
              <c:showPercent val="1"/>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Report'!$B$55:$B$57</c:f>
              <c:strCache>
                <c:ptCount val="2"/>
                <c:pt idx="0">
                  <c:v>Delay</c:v>
                </c:pt>
                <c:pt idx="1">
                  <c:v>Ontime</c:v>
                </c:pt>
              </c:strCache>
            </c:strRef>
          </c:cat>
          <c:val>
            <c:numRef>
              <c:f>'Pivot Report'!$C$55:$C$57</c:f>
              <c:numCache>
                <c:formatCode>0</c:formatCode>
                <c:ptCount val="2"/>
                <c:pt idx="0">
                  <c:v>316</c:v>
                </c:pt>
                <c:pt idx="1">
                  <c:v>197</c:v>
                </c:pt>
              </c:numCache>
            </c:numRef>
          </c:val>
          <c:extLst>
            <c:ext xmlns:c16="http://schemas.microsoft.com/office/drawing/2014/chart" uri="{C3380CC4-5D6E-409C-BE32-E72D297353CC}">
              <c16:uniqueId val="{0000000C-5AAE-404F-AB73-B4EA0645C75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4.7597013618798732E-3"/>
          <c:y val="1.5123544497916861E-2"/>
          <c:w val="0.99524029863812014"/>
          <c:h val="0.11475213501985315"/>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Report!PivotTable10</c:name>
    <c:fmtId val="17"/>
  </c:pivotSource>
  <c:chart>
    <c:autoTitleDeleted val="1"/>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pivotFmt>
      <c:pivotFmt>
        <c:idx val="6"/>
        <c:spPr>
          <a:solidFill>
            <a:schemeClr val="accent1"/>
          </a:solidFill>
          <a:ln>
            <a:noFill/>
          </a:ln>
          <a:effectLst/>
        </c:spPr>
      </c:pivotFmt>
    </c:pivotFmts>
    <c:plotArea>
      <c:layout>
        <c:manualLayout>
          <c:layoutTarget val="inner"/>
          <c:xMode val="edge"/>
          <c:yMode val="edge"/>
          <c:x val="0.10950351505278635"/>
          <c:y val="0.15263308114478369"/>
          <c:w val="0.76462018861171333"/>
          <c:h val="0.71344416907095332"/>
        </c:manualLayout>
      </c:layout>
      <c:doughnutChart>
        <c:varyColors val="1"/>
        <c:ser>
          <c:idx val="0"/>
          <c:order val="0"/>
          <c:tx>
            <c:strRef>
              <c:f>'Pivot Report'!$J$49</c:f>
              <c:strCache>
                <c:ptCount val="1"/>
                <c:pt idx="0">
                  <c:v>Total</c:v>
                </c:pt>
              </c:strCache>
            </c:strRef>
          </c:tx>
          <c:spPr>
            <a:effectLst/>
          </c:spPr>
          <c:dPt>
            <c:idx val="0"/>
            <c:bubble3D val="0"/>
            <c:spPr>
              <a:solidFill>
                <a:schemeClr val="accent1"/>
              </a:solidFill>
              <a:ln>
                <a:noFill/>
              </a:ln>
              <a:effectLst/>
            </c:spPr>
          </c:dPt>
          <c:dPt>
            <c:idx val="1"/>
            <c:bubble3D val="0"/>
            <c:spPr>
              <a:solidFill>
                <a:schemeClr val="accent2"/>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Report'!$I$50:$I$52</c:f>
              <c:strCache>
                <c:ptCount val="2"/>
                <c:pt idx="0">
                  <c:v>Female</c:v>
                </c:pt>
                <c:pt idx="1">
                  <c:v>Male</c:v>
                </c:pt>
              </c:strCache>
            </c:strRef>
          </c:cat>
          <c:val>
            <c:numRef>
              <c:f>'Pivot Report'!$J$50:$J$52</c:f>
              <c:numCache>
                <c:formatCode>0</c:formatCode>
                <c:ptCount val="2"/>
                <c:pt idx="0">
                  <c:v>241</c:v>
                </c:pt>
                <c:pt idx="1">
                  <c:v>272</c:v>
                </c:pt>
              </c:numCache>
            </c:numRef>
          </c:val>
          <c:extLst>
            <c:ext xmlns:c16="http://schemas.microsoft.com/office/drawing/2014/chart" uri="{C3380CC4-5D6E-409C-BE32-E72D297353CC}">
              <c16:uniqueId val="{0000000A-8B97-40D2-91DD-BBC30915D016}"/>
            </c:ext>
          </c:extLst>
        </c:ser>
        <c:dLbls>
          <c:showLegendKey val="0"/>
          <c:showVal val="0"/>
          <c:showCatName val="0"/>
          <c:showSerName val="0"/>
          <c:showPercent val="1"/>
          <c:showBubbleSize val="0"/>
          <c:showLeaderLines val="1"/>
        </c:dLbls>
        <c:firstSliceAng val="0"/>
        <c:holeSize val="40"/>
      </c:doughnutChart>
      <c:spPr>
        <a:noFill/>
        <a:ln>
          <a:noFill/>
        </a:ln>
        <a:effectLst/>
      </c:spPr>
    </c:plotArea>
    <c:legend>
      <c:legendPos val="r"/>
      <c:layout>
        <c:manualLayout>
          <c:xMode val="edge"/>
          <c:yMode val="edge"/>
          <c:x val="1.9133857331938308E-3"/>
          <c:y val="1.6734213334996022E-2"/>
          <c:w val="0.99249655242839774"/>
          <c:h val="0.12809635761467958"/>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Report!PivotTable11</c:name>
    <c:fmtId val="2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113916665056072"/>
          <c:y val="4.0426068538589932E-2"/>
          <c:w val="0.69570817344386504"/>
          <c:h val="0.83860112783553376"/>
        </c:manualLayout>
      </c:layout>
      <c:barChart>
        <c:barDir val="bar"/>
        <c:grouping val="clustered"/>
        <c:varyColors val="0"/>
        <c:ser>
          <c:idx val="0"/>
          <c:order val="0"/>
          <c:tx>
            <c:strRef>
              <c:f>'Pivot Report'!$C$42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Report'!$B$43:$B$51</c:f>
              <c:strCache>
                <c:ptCount val="8"/>
                <c:pt idx="0">
                  <c:v>Gastroenterology</c:v>
                </c:pt>
                <c:pt idx="1">
                  <c:v>Renal</c:v>
                </c:pt>
                <c:pt idx="2">
                  <c:v>Neurology</c:v>
                </c:pt>
                <c:pt idx="3">
                  <c:v>Physiotherapy</c:v>
                </c:pt>
                <c:pt idx="4">
                  <c:v>Cardiology</c:v>
                </c:pt>
                <c:pt idx="5">
                  <c:v>Orthopedics</c:v>
                </c:pt>
                <c:pt idx="6">
                  <c:v>General Practice</c:v>
                </c:pt>
                <c:pt idx="7">
                  <c:v>None</c:v>
                </c:pt>
              </c:strCache>
            </c:strRef>
          </c:cat>
          <c:val>
            <c:numRef>
              <c:f>'Pivot Report'!$C$43:$C$51</c:f>
              <c:numCache>
                <c:formatCode>0</c:formatCode>
                <c:ptCount val="8"/>
                <c:pt idx="0">
                  <c:v>4</c:v>
                </c:pt>
                <c:pt idx="1">
                  <c:v>5</c:v>
                </c:pt>
                <c:pt idx="2">
                  <c:v>9</c:v>
                </c:pt>
                <c:pt idx="3">
                  <c:v>14</c:v>
                </c:pt>
                <c:pt idx="4">
                  <c:v>14</c:v>
                </c:pt>
                <c:pt idx="5">
                  <c:v>65</c:v>
                </c:pt>
                <c:pt idx="6">
                  <c:v>103</c:v>
                </c:pt>
                <c:pt idx="7">
                  <c:v>299</c:v>
                </c:pt>
              </c:numCache>
            </c:numRef>
          </c:val>
          <c:extLst>
            <c:ext xmlns:c16="http://schemas.microsoft.com/office/drawing/2014/chart" uri="{C3380CC4-5D6E-409C-BE32-E72D297353CC}">
              <c16:uniqueId val="{00000006-71DA-4403-A384-661DFB127ED8}"/>
            </c:ext>
          </c:extLst>
        </c:ser>
        <c:dLbls>
          <c:showLegendKey val="0"/>
          <c:showVal val="0"/>
          <c:showCatName val="0"/>
          <c:showSerName val="0"/>
          <c:showPercent val="0"/>
          <c:showBubbleSize val="0"/>
        </c:dLbls>
        <c:gapWidth val="30"/>
        <c:axId val="977068016"/>
        <c:axId val="977056016"/>
      </c:barChart>
      <c:catAx>
        <c:axId val="9770680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977056016"/>
        <c:crosses val="autoZero"/>
        <c:auto val="1"/>
        <c:lblAlgn val="ctr"/>
        <c:lblOffset val="100"/>
        <c:noMultiLvlLbl val="0"/>
      </c:catAx>
      <c:valAx>
        <c:axId val="977056016"/>
        <c:scaling>
          <c:orientation val="minMax"/>
        </c:scaling>
        <c:delete val="1"/>
        <c:axPos val="b"/>
        <c:numFmt formatCode="0" sourceLinked="1"/>
        <c:majorTickMark val="none"/>
        <c:minorTickMark val="none"/>
        <c:tickLblPos val="nextTo"/>
        <c:crossAx val="977068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Report!PivotTable4</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54478070501989E-2"/>
          <c:y val="0"/>
          <c:w val="0.86329104385899602"/>
          <c:h val="0.64899239506879625"/>
        </c:manualLayout>
      </c:layout>
      <c:areaChart>
        <c:grouping val="standard"/>
        <c:varyColors val="0"/>
        <c:ser>
          <c:idx val="0"/>
          <c:order val="0"/>
          <c:tx>
            <c:strRef>
              <c:f>'Pivot Report'!$H$5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Report'!$G$6:$G$37</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Report'!$H$6:$H$37</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5-C22B-4E34-9B5D-88BFB50D432F}"/>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935383455"/>
        <c:axId val="1935375295"/>
      </c:areaChart>
      <c:catAx>
        <c:axId val="1935383455"/>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935375295"/>
        <c:crosses val="autoZero"/>
        <c:auto val="1"/>
        <c:lblAlgn val="ctr"/>
        <c:lblOffset val="100"/>
        <c:noMultiLvlLbl val="0"/>
      </c:catAx>
      <c:valAx>
        <c:axId val="1935375295"/>
        <c:scaling>
          <c:orientation val="minMax"/>
        </c:scaling>
        <c:delete val="1"/>
        <c:axPos val="l"/>
        <c:numFmt formatCode="General" sourceLinked="1"/>
        <c:majorTickMark val="out"/>
        <c:minorTickMark val="none"/>
        <c:tickLblPos val="nextTo"/>
        <c:crossAx val="193538345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Report!PivotTable5</c:name>
    <c:fmtId val="1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99239888591908"/>
          <c:y val="0.11937439326933448"/>
          <c:w val="0.76611685007263997"/>
          <c:h val="0.72537446517815418"/>
        </c:manualLayout>
      </c:layout>
      <c:areaChart>
        <c:grouping val="standard"/>
        <c:varyColors val="0"/>
        <c:ser>
          <c:idx val="0"/>
          <c:order val="0"/>
          <c:tx>
            <c:strRef>
              <c:f>'Pivot Report'!$K$5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Report'!$J$6:$J$37</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Report'!$K$6:$K$37</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5-BCF1-47EF-9B4F-E642D2B74943}"/>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68399392"/>
        <c:axId val="68399872"/>
      </c:areaChart>
      <c:catAx>
        <c:axId val="68399392"/>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800" b="0" i="0" u="none" strike="noStrike" kern="1200" baseline="0">
                <a:solidFill>
                  <a:schemeClr val="lt1"/>
                </a:solidFill>
                <a:latin typeface="+mn-lt"/>
                <a:ea typeface="+mn-ea"/>
                <a:cs typeface="+mn-cs"/>
              </a:defRPr>
            </a:pPr>
            <a:endParaRPr lang="en-US"/>
          </a:p>
        </c:txPr>
        <c:crossAx val="68399872"/>
        <c:crosses val="autoZero"/>
        <c:auto val="1"/>
        <c:lblAlgn val="ctr"/>
        <c:lblOffset val="100"/>
        <c:noMultiLvlLbl val="0"/>
      </c:catAx>
      <c:valAx>
        <c:axId val="68399872"/>
        <c:scaling>
          <c:orientation val="minMax"/>
        </c:scaling>
        <c:delete val="1"/>
        <c:axPos val="l"/>
        <c:numFmt formatCode="0.00" sourceLinked="1"/>
        <c:majorTickMark val="out"/>
        <c:minorTickMark val="none"/>
        <c:tickLblPos val="nextTo"/>
        <c:crossAx val="683993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Report!PivotTable6</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988232656612207E-2"/>
          <c:y val="3.9824583450289448E-2"/>
          <c:w val="0.82222689841508212"/>
          <c:h val="0.80492425354597241"/>
        </c:manualLayout>
      </c:layout>
      <c:areaChart>
        <c:grouping val="standard"/>
        <c:varyColors val="0"/>
        <c:ser>
          <c:idx val="0"/>
          <c:order val="0"/>
          <c:tx>
            <c:strRef>
              <c:f>'Pivot Report'!$N$5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Report'!$M$6:$M$37</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Report'!$N$6:$N$37</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5-145A-4820-AE26-6DDCE5077A00}"/>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68399392"/>
        <c:axId val="68399872"/>
      </c:areaChart>
      <c:catAx>
        <c:axId val="68399392"/>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800" b="0" i="0" u="none" strike="noStrike" kern="1200" baseline="0">
                <a:solidFill>
                  <a:schemeClr val="lt1"/>
                </a:solidFill>
                <a:latin typeface="+mn-lt"/>
                <a:ea typeface="+mn-ea"/>
                <a:cs typeface="+mn-cs"/>
              </a:defRPr>
            </a:pPr>
            <a:endParaRPr lang="en-US"/>
          </a:p>
        </c:txPr>
        <c:crossAx val="68399872"/>
        <c:crosses val="autoZero"/>
        <c:auto val="1"/>
        <c:lblAlgn val="ctr"/>
        <c:lblOffset val="100"/>
        <c:noMultiLvlLbl val="0"/>
      </c:catAx>
      <c:valAx>
        <c:axId val="68399872"/>
        <c:scaling>
          <c:orientation val="minMax"/>
        </c:scaling>
        <c:delete val="1"/>
        <c:axPos val="l"/>
        <c:numFmt formatCode="0.00" sourceLinked="1"/>
        <c:majorTickMark val="out"/>
        <c:minorTickMark val="none"/>
        <c:tickLblPos val="nextTo"/>
        <c:crossAx val="68399392"/>
        <c:crosses val="autoZero"/>
        <c:crossBetween val="midCat"/>
      </c:valAx>
      <c:spPr>
        <a:noFill/>
        <a:ln>
          <a:noFill/>
        </a:ln>
        <a:effectLst/>
      </c:spPr>
    </c:plotArea>
    <c:plotVisOnly val="1"/>
    <c:dispBlanksAs val="zero"/>
    <c:showDLblsOverMax val="0"/>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Excel Dashboard.xlsx]Pivot Report!PivotTable7</c:name>
    <c:fmtId val="1"/>
  </c:pivotSource>
  <c:chart>
    <c:autoTitleDeleted val="0"/>
    <c:pivotFmts>
      <c:pivotFmt>
        <c:idx val="0"/>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3"/>
        <c:spPr>
          <a:solidFill>
            <a:srgbClr val="0070C0"/>
          </a:solidFill>
          <a:ln>
            <a:noFill/>
          </a:ln>
          <a:effectLst/>
        </c:spPr>
        <c:dLbl>
          <c:idx val="0"/>
          <c:tx>
            <c:rich>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fld id="{6C971AE0-4C45-4A1C-B435-5FBEA3D66839}" type="CELLRANGE">
                  <a:rPr lang="en-US"/>
                  <a:pPr>
                    <a:defRPr sz="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manualLayout>
          <c:layoutTarget val="inner"/>
          <c:xMode val="edge"/>
          <c:yMode val="edge"/>
          <c:x val="3.8077510150388199E-3"/>
          <c:y val="0.12531637211963817"/>
          <c:w val="0.63894409222280124"/>
          <c:h val="0.7493671385692936"/>
        </c:manualLayout>
      </c:layout>
      <c:barChart>
        <c:barDir val="bar"/>
        <c:grouping val="clustered"/>
        <c:varyColors val="0"/>
        <c:ser>
          <c:idx val="0"/>
          <c:order val="0"/>
          <c:tx>
            <c:strRef>
              <c:f>'Pivot Report'!$C$18</c:f>
              <c:strCache>
                <c:ptCount val="1"/>
                <c:pt idx="0">
                  <c:v>Count of Patient Admission Flag</c:v>
                </c:pt>
              </c:strCache>
            </c:strRef>
          </c:tx>
          <c:spPr>
            <a:solidFill>
              <a:srgbClr val="0070C0"/>
            </a:solidFill>
            <a:ln>
              <a:noFill/>
            </a:ln>
            <a:effectLst/>
          </c:spPr>
          <c:invertIfNegative val="0"/>
          <c:dPt>
            <c:idx val="0"/>
            <c:invertIfNegative val="0"/>
            <c:bubble3D val="0"/>
          </c:dPt>
          <c:dPt>
            <c:idx val="1"/>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'Pivot Report'!$B$19:$B$21</c:f>
              <c:strCache>
                <c:ptCount val="2"/>
                <c:pt idx="0">
                  <c:v>Admitted</c:v>
                </c:pt>
                <c:pt idx="1">
                  <c:v>Not Admitted</c:v>
                </c:pt>
              </c:strCache>
            </c:strRef>
          </c:cat>
          <c:val>
            <c:numRef>
              <c:f>'Pivot Report'!$C$19:$C$21</c:f>
              <c:numCache>
                <c:formatCode>0</c:formatCode>
                <c:ptCount val="2"/>
                <c:pt idx="0">
                  <c:v>269</c:v>
                </c:pt>
                <c:pt idx="1">
                  <c:v>244</c:v>
                </c:pt>
              </c:numCache>
            </c:numRef>
          </c:val>
          <c:extLst>
            <c:ext xmlns:c16="http://schemas.microsoft.com/office/drawing/2014/chart" uri="{C3380CC4-5D6E-409C-BE32-E72D297353CC}">
              <c16:uniqueId val="{0000000B-38BB-4E39-A669-6474988DE92F}"/>
            </c:ext>
          </c:extLst>
        </c:ser>
        <c:ser>
          <c:idx val="1"/>
          <c:order val="1"/>
          <c:tx>
            <c:strRef>
              <c:f>'Pivot Report'!$D$18</c:f>
              <c:strCache>
                <c:ptCount val="1"/>
                <c:pt idx="0">
                  <c:v>Count of Patient Admission Flag2</c:v>
                </c:pt>
              </c:strCache>
            </c:strRef>
          </c:tx>
          <c:spPr>
            <a:solidFill>
              <a:schemeClr val="accent2"/>
            </a:solidFill>
            <a:ln>
              <a:noFill/>
            </a:ln>
            <a:effectLst/>
          </c:spPr>
          <c:invertIfNegative val="0"/>
          <c:cat>
            <c:strRef>
              <c:f>'Pivot Report'!$B$19:$B$21</c:f>
              <c:strCache>
                <c:ptCount val="2"/>
                <c:pt idx="0">
                  <c:v>Admitted</c:v>
                </c:pt>
                <c:pt idx="1">
                  <c:v>Not Admitted</c:v>
                </c:pt>
              </c:strCache>
            </c:strRef>
          </c:cat>
          <c:val>
            <c:numRef>
              <c:f>'Pivot Report'!$D$19:$D$21</c:f>
              <c:numCache>
                <c:formatCode>0.00%</c:formatCode>
                <c:ptCount val="2"/>
                <c:pt idx="0">
                  <c:v>0.52436647173489281</c:v>
                </c:pt>
                <c:pt idx="1">
                  <c:v>0.47563352826510719</c:v>
                </c:pt>
              </c:numCache>
            </c:numRef>
          </c:val>
          <c:extLst>
            <c:ext xmlns:c16="http://schemas.microsoft.com/office/drawing/2014/chart" uri="{C3380CC4-5D6E-409C-BE32-E72D297353CC}">
              <c16:uniqueId val="{0000000C-38BB-4E39-A669-6474988DE92F}"/>
            </c:ext>
          </c:extLst>
        </c:ser>
        <c:dLbls>
          <c:showLegendKey val="0"/>
          <c:showVal val="0"/>
          <c:showCatName val="0"/>
          <c:showSerName val="0"/>
          <c:showPercent val="0"/>
          <c:showBubbleSize val="0"/>
        </c:dLbls>
        <c:gapWidth val="0"/>
        <c:axId val="1922862303"/>
        <c:axId val="1922859423"/>
      </c:barChart>
      <c:catAx>
        <c:axId val="1922862303"/>
        <c:scaling>
          <c:orientation val="minMax"/>
        </c:scaling>
        <c:delete val="1"/>
        <c:axPos val="l"/>
        <c:numFmt formatCode="General" sourceLinked="1"/>
        <c:majorTickMark val="none"/>
        <c:minorTickMark val="none"/>
        <c:tickLblPos val="nextTo"/>
        <c:crossAx val="1922859423"/>
        <c:crosses val="autoZero"/>
        <c:auto val="1"/>
        <c:lblAlgn val="ctr"/>
        <c:lblOffset val="100"/>
        <c:noMultiLvlLbl val="0"/>
      </c:catAx>
      <c:valAx>
        <c:axId val="1922859423"/>
        <c:scaling>
          <c:orientation val="minMax"/>
        </c:scaling>
        <c:delete val="1"/>
        <c:axPos val="b"/>
        <c:numFmt formatCode="0" sourceLinked="1"/>
        <c:majorTickMark val="none"/>
        <c:minorTickMark val="none"/>
        <c:tickLblPos val="nextTo"/>
        <c:crossAx val="1922862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ily ER No. Of Patients'!A1"/><Relationship Id="rId13" Type="http://schemas.openxmlformats.org/officeDocument/2006/relationships/chart" Target="../charts/chart3.xml"/><Relationship Id="rId18" Type="http://schemas.openxmlformats.org/officeDocument/2006/relationships/chart" Target="../charts/chart7.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Satisfaction Score Daily Trend'!A1"/><Relationship Id="rId17" Type="http://schemas.openxmlformats.org/officeDocument/2006/relationships/chart" Target="../charts/chart6.xml"/><Relationship Id="rId2" Type="http://schemas.openxmlformats.org/officeDocument/2006/relationships/image" Target="../media/image2.png"/><Relationship Id="rId16"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2.xml"/><Relationship Id="rId5" Type="http://schemas.openxmlformats.org/officeDocument/2006/relationships/image" Target="../media/image5.svg"/><Relationship Id="rId15" Type="http://schemas.openxmlformats.org/officeDocument/2006/relationships/chart" Target="../charts/chart4.xml"/><Relationship Id="rId10" Type="http://schemas.openxmlformats.org/officeDocument/2006/relationships/hyperlink" Target="#'Average Daily Wait Time Trend'!A1"/><Relationship Id="rId4" Type="http://schemas.openxmlformats.org/officeDocument/2006/relationships/image" Target="../media/image4.png"/><Relationship Id="rId9" Type="http://schemas.openxmlformats.org/officeDocument/2006/relationships/chart" Target="../charts/chart1.xml"/><Relationship Id="rId14" Type="http://schemas.openxmlformats.org/officeDocument/2006/relationships/image" Target="../media/image8.emf"/></Relationships>
</file>

<file path=xl/drawings/_rels/drawing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1.svg"/></Relationships>
</file>

<file path=xl/drawings/_rels/drawing5.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10.xml"/><Relationship Id="rId4" Type="http://schemas.openxmlformats.org/officeDocument/2006/relationships/image" Target="../media/image11.svg"/></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absolute">
    <xdr:from>
      <xdr:col>0</xdr:col>
      <xdr:colOff>65851</xdr:colOff>
      <xdr:row>0</xdr:row>
      <xdr:rowOff>65852</xdr:rowOff>
    </xdr:from>
    <xdr:to>
      <xdr:col>5</xdr:col>
      <xdr:colOff>310446</xdr:colOff>
      <xdr:row>3</xdr:row>
      <xdr:rowOff>9408</xdr:rowOff>
    </xdr:to>
    <xdr:sp macro="" textlink="">
      <xdr:nvSpPr>
        <xdr:cNvPr id="2" name="Rectangle: Rounded Corners 1">
          <a:extLst>
            <a:ext uri="{FF2B5EF4-FFF2-40B4-BE49-F238E27FC236}">
              <a16:creationId xmlns:a16="http://schemas.microsoft.com/office/drawing/2014/main" id="{B657D7CC-F5FE-EDEF-6E0B-58C52E55A149}"/>
            </a:ext>
          </a:extLst>
        </xdr:cNvPr>
        <xdr:cNvSpPr/>
      </xdr:nvSpPr>
      <xdr:spPr>
        <a:xfrm>
          <a:off x="65851" y="65852"/>
          <a:ext cx="3302002" cy="493889"/>
        </a:xfrm>
        <a:prstGeom prst="roundRect">
          <a:avLst>
            <a:gd name="adj" fmla="val 1190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366889</xdr:colOff>
      <xdr:row>0</xdr:row>
      <xdr:rowOff>56444</xdr:rowOff>
    </xdr:from>
    <xdr:to>
      <xdr:col>7</xdr:col>
      <xdr:colOff>2</xdr:colOff>
      <xdr:row>2</xdr:row>
      <xdr:rowOff>183444</xdr:rowOff>
    </xdr:to>
    <xdr:sp macro="" textlink="">
      <xdr:nvSpPr>
        <xdr:cNvPr id="3" name="Rectangle: Rounded Corners 2">
          <a:extLst>
            <a:ext uri="{FF2B5EF4-FFF2-40B4-BE49-F238E27FC236}">
              <a16:creationId xmlns:a16="http://schemas.microsoft.com/office/drawing/2014/main" id="{B22B463B-A411-135D-CA88-2FDFB7F9EA50}"/>
            </a:ext>
          </a:extLst>
        </xdr:cNvPr>
        <xdr:cNvSpPr/>
      </xdr:nvSpPr>
      <xdr:spPr>
        <a:xfrm>
          <a:off x="3424296" y="56444"/>
          <a:ext cx="856076" cy="493889"/>
        </a:xfrm>
        <a:prstGeom prst="roundRect">
          <a:avLst>
            <a:gd name="adj" fmla="val 6191"/>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56444</xdr:colOff>
      <xdr:row>0</xdr:row>
      <xdr:rowOff>56443</xdr:rowOff>
    </xdr:from>
    <xdr:to>
      <xdr:col>9</xdr:col>
      <xdr:colOff>183445</xdr:colOff>
      <xdr:row>7</xdr:row>
      <xdr:rowOff>0</xdr:rowOff>
    </xdr:to>
    <xdr:sp macro="" textlink="">
      <xdr:nvSpPr>
        <xdr:cNvPr id="4" name="Rectangle: Rounded Corners 3">
          <a:extLst>
            <a:ext uri="{FF2B5EF4-FFF2-40B4-BE49-F238E27FC236}">
              <a16:creationId xmlns:a16="http://schemas.microsoft.com/office/drawing/2014/main" id="{80647D64-3C70-4241-24FB-A7DA46C468C1}"/>
            </a:ext>
          </a:extLst>
        </xdr:cNvPr>
        <xdr:cNvSpPr/>
      </xdr:nvSpPr>
      <xdr:spPr>
        <a:xfrm>
          <a:off x="4336814" y="56443"/>
          <a:ext cx="1349964" cy="1227668"/>
        </a:xfrm>
        <a:prstGeom prst="roundRect">
          <a:avLst>
            <a:gd name="adj" fmla="val 214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239888</xdr:colOff>
      <xdr:row>0</xdr:row>
      <xdr:rowOff>56443</xdr:rowOff>
    </xdr:from>
    <xdr:to>
      <xdr:col>11</xdr:col>
      <xdr:colOff>366889</xdr:colOff>
      <xdr:row>7</xdr:row>
      <xdr:rowOff>0</xdr:rowOff>
    </xdr:to>
    <xdr:sp macro="" textlink="">
      <xdr:nvSpPr>
        <xdr:cNvPr id="6" name="Rectangle: Rounded Corners 5">
          <a:extLst>
            <a:ext uri="{FF2B5EF4-FFF2-40B4-BE49-F238E27FC236}">
              <a16:creationId xmlns:a16="http://schemas.microsoft.com/office/drawing/2014/main" id="{F77B71C0-965C-00E9-07B2-A02CCB34497B}"/>
            </a:ext>
          </a:extLst>
        </xdr:cNvPr>
        <xdr:cNvSpPr/>
      </xdr:nvSpPr>
      <xdr:spPr>
        <a:xfrm>
          <a:off x="5743221" y="56443"/>
          <a:ext cx="1349964" cy="1227668"/>
        </a:xfrm>
        <a:prstGeom prst="roundRect">
          <a:avLst>
            <a:gd name="adj" fmla="val 214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65851</xdr:colOff>
      <xdr:row>3</xdr:row>
      <xdr:rowOff>56444</xdr:rowOff>
    </xdr:from>
    <xdr:to>
      <xdr:col>1</xdr:col>
      <xdr:colOff>117593</xdr:colOff>
      <xdr:row>15</xdr:row>
      <xdr:rowOff>131703</xdr:rowOff>
    </xdr:to>
    <xdr:sp macro="" textlink="">
      <xdr:nvSpPr>
        <xdr:cNvPr id="7" name="Rectangle: Rounded Corners 6">
          <a:extLst>
            <a:ext uri="{FF2B5EF4-FFF2-40B4-BE49-F238E27FC236}">
              <a16:creationId xmlns:a16="http://schemas.microsoft.com/office/drawing/2014/main" id="{3CAF3842-47B1-5427-587E-E89E49C8F51E}"/>
            </a:ext>
          </a:extLst>
        </xdr:cNvPr>
        <xdr:cNvSpPr/>
      </xdr:nvSpPr>
      <xdr:spPr>
        <a:xfrm>
          <a:off x="65851" y="606777"/>
          <a:ext cx="663223" cy="2276593"/>
        </a:xfrm>
        <a:prstGeom prst="roundRect">
          <a:avLst>
            <a:gd name="adj" fmla="val 6091"/>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169333</xdr:colOff>
      <xdr:row>3</xdr:row>
      <xdr:rowOff>56445</xdr:rowOff>
    </xdr:from>
    <xdr:to>
      <xdr:col>3</xdr:col>
      <xdr:colOff>66229</xdr:colOff>
      <xdr:row>7</xdr:row>
      <xdr:rowOff>4704</xdr:rowOff>
    </xdr:to>
    <xdr:sp macro="" textlink="">
      <xdr:nvSpPr>
        <xdr:cNvPr id="8" name="Rectangle: Rounded Corners 7">
          <a:extLst>
            <a:ext uri="{FF2B5EF4-FFF2-40B4-BE49-F238E27FC236}">
              <a16:creationId xmlns:a16="http://schemas.microsoft.com/office/drawing/2014/main" id="{19B15B75-465F-7EAE-AF56-2171E89B97AD}"/>
            </a:ext>
          </a:extLst>
        </xdr:cNvPr>
        <xdr:cNvSpPr/>
      </xdr:nvSpPr>
      <xdr:spPr>
        <a:xfrm>
          <a:off x="780814" y="606778"/>
          <a:ext cx="1119859" cy="682037"/>
        </a:xfrm>
        <a:prstGeom prst="roundRect">
          <a:avLst>
            <a:gd name="adj" fmla="val 6091"/>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136219</xdr:colOff>
      <xdr:row>3</xdr:row>
      <xdr:rowOff>56445</xdr:rowOff>
    </xdr:from>
    <xdr:to>
      <xdr:col>5</xdr:col>
      <xdr:colOff>33115</xdr:colOff>
      <xdr:row>7</xdr:row>
      <xdr:rowOff>4704</xdr:rowOff>
    </xdr:to>
    <xdr:sp macro="" textlink="">
      <xdr:nvSpPr>
        <xdr:cNvPr id="9" name="Rectangle: Rounded Corners 8">
          <a:extLst>
            <a:ext uri="{FF2B5EF4-FFF2-40B4-BE49-F238E27FC236}">
              <a16:creationId xmlns:a16="http://schemas.microsoft.com/office/drawing/2014/main" id="{3CADD095-880E-6C41-D984-74D25918E759}"/>
            </a:ext>
          </a:extLst>
        </xdr:cNvPr>
        <xdr:cNvSpPr/>
      </xdr:nvSpPr>
      <xdr:spPr>
        <a:xfrm>
          <a:off x="1970663" y="606778"/>
          <a:ext cx="1119859" cy="682037"/>
        </a:xfrm>
        <a:prstGeom prst="roundRect">
          <a:avLst>
            <a:gd name="adj" fmla="val 6091"/>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103104</xdr:colOff>
      <xdr:row>3</xdr:row>
      <xdr:rowOff>56445</xdr:rowOff>
    </xdr:from>
    <xdr:to>
      <xdr:col>6</xdr:col>
      <xdr:colOff>611481</xdr:colOff>
      <xdr:row>7</xdr:row>
      <xdr:rowOff>4704</xdr:rowOff>
    </xdr:to>
    <xdr:sp macro="" textlink="">
      <xdr:nvSpPr>
        <xdr:cNvPr id="10" name="Rectangle: Rounded Corners 9">
          <a:extLst>
            <a:ext uri="{FF2B5EF4-FFF2-40B4-BE49-F238E27FC236}">
              <a16:creationId xmlns:a16="http://schemas.microsoft.com/office/drawing/2014/main" id="{A10F3A69-B4C2-860D-AD9C-FCB725929A3B}"/>
            </a:ext>
          </a:extLst>
        </xdr:cNvPr>
        <xdr:cNvSpPr/>
      </xdr:nvSpPr>
      <xdr:spPr>
        <a:xfrm>
          <a:off x="3160511" y="606778"/>
          <a:ext cx="1119859" cy="682037"/>
        </a:xfrm>
        <a:prstGeom prst="roundRect">
          <a:avLst>
            <a:gd name="adj" fmla="val 6091"/>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174037</xdr:colOff>
      <xdr:row>9</xdr:row>
      <xdr:rowOff>117594</xdr:rowOff>
    </xdr:from>
    <xdr:to>
      <xdr:col>7</xdr:col>
      <xdr:colOff>14111</xdr:colOff>
      <xdr:row>15</xdr:row>
      <xdr:rowOff>136409</xdr:rowOff>
    </xdr:to>
    <xdr:sp macro="" textlink="">
      <xdr:nvSpPr>
        <xdr:cNvPr id="16" name="Rectangle: Rounded Corners 15">
          <a:extLst>
            <a:ext uri="{FF2B5EF4-FFF2-40B4-BE49-F238E27FC236}">
              <a16:creationId xmlns:a16="http://schemas.microsoft.com/office/drawing/2014/main" id="{762D242C-B010-2A3B-FDD1-F910C0152F43}"/>
            </a:ext>
          </a:extLst>
        </xdr:cNvPr>
        <xdr:cNvSpPr/>
      </xdr:nvSpPr>
      <xdr:spPr>
        <a:xfrm>
          <a:off x="785518" y="1768594"/>
          <a:ext cx="3508963" cy="1119482"/>
        </a:xfrm>
        <a:prstGeom prst="roundRect">
          <a:avLst>
            <a:gd name="adj" fmla="val 8271"/>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159925</xdr:colOff>
      <xdr:row>7</xdr:row>
      <xdr:rowOff>50822</xdr:rowOff>
    </xdr:from>
    <xdr:to>
      <xdr:col>6</xdr:col>
      <xdr:colOff>611480</xdr:colOff>
      <xdr:row>9</xdr:row>
      <xdr:rowOff>70556</xdr:rowOff>
    </xdr:to>
    <xdr:sp macro="" textlink="">
      <xdr:nvSpPr>
        <xdr:cNvPr id="17" name="Rectangle: Rounded Corners 16">
          <a:extLst>
            <a:ext uri="{FF2B5EF4-FFF2-40B4-BE49-F238E27FC236}">
              <a16:creationId xmlns:a16="http://schemas.microsoft.com/office/drawing/2014/main" id="{FCA19CEB-AC1A-9DAB-FB05-4A9D57D19941}"/>
            </a:ext>
          </a:extLst>
        </xdr:cNvPr>
        <xdr:cNvSpPr/>
      </xdr:nvSpPr>
      <xdr:spPr>
        <a:xfrm>
          <a:off x="771406" y="1334933"/>
          <a:ext cx="3508963" cy="386623"/>
        </a:xfrm>
        <a:prstGeom prst="roundRect">
          <a:avLst>
            <a:gd name="adj" fmla="val 1200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56444</xdr:colOff>
      <xdr:row>7</xdr:row>
      <xdr:rowOff>51739</xdr:rowOff>
    </xdr:from>
    <xdr:to>
      <xdr:col>11</xdr:col>
      <xdr:colOff>371592</xdr:colOff>
      <xdr:row>15</xdr:row>
      <xdr:rowOff>122295</xdr:rowOff>
    </xdr:to>
    <xdr:sp macro="" textlink="">
      <xdr:nvSpPr>
        <xdr:cNvPr id="31" name="Rectangle: Rounded Corners 30">
          <a:extLst>
            <a:ext uri="{FF2B5EF4-FFF2-40B4-BE49-F238E27FC236}">
              <a16:creationId xmlns:a16="http://schemas.microsoft.com/office/drawing/2014/main" id="{67E38FC6-5F86-FC6E-81C8-230F450B4AF4}"/>
            </a:ext>
          </a:extLst>
        </xdr:cNvPr>
        <xdr:cNvSpPr/>
      </xdr:nvSpPr>
      <xdr:spPr>
        <a:xfrm>
          <a:off x="4336814" y="1335850"/>
          <a:ext cx="2761074" cy="1538112"/>
        </a:xfrm>
        <a:prstGeom prst="roundRect">
          <a:avLst>
            <a:gd name="adj" fmla="val 214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editAs="absolute">
    <xdr:from>
      <xdr:col>1</xdr:col>
      <xdr:colOff>75257</xdr:colOff>
      <xdr:row>0</xdr:row>
      <xdr:rowOff>145820</xdr:rowOff>
    </xdr:from>
    <xdr:to>
      <xdr:col>5</xdr:col>
      <xdr:colOff>122293</xdr:colOff>
      <xdr:row>2</xdr:row>
      <xdr:rowOff>65856</xdr:rowOff>
    </xdr:to>
    <xdr:sp macro="" textlink="">
      <xdr:nvSpPr>
        <xdr:cNvPr id="37" name="TextBox 36">
          <a:extLst>
            <a:ext uri="{FF2B5EF4-FFF2-40B4-BE49-F238E27FC236}">
              <a16:creationId xmlns:a16="http://schemas.microsoft.com/office/drawing/2014/main" id="{1FE35BA6-09BA-BF15-E7A9-D57230BC2BA4}"/>
            </a:ext>
          </a:extLst>
        </xdr:cNvPr>
        <xdr:cNvSpPr txBox="1"/>
      </xdr:nvSpPr>
      <xdr:spPr>
        <a:xfrm>
          <a:off x="686738" y="145820"/>
          <a:ext cx="2492962" cy="286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200"/>
            <a:t>Hospital Emergency Room Dashboard</a:t>
          </a:r>
        </a:p>
      </xdr:txBody>
    </xdr:sp>
    <xdr:clientData/>
  </xdr:twoCellAnchor>
  <xdr:twoCellAnchor editAs="oneCell">
    <xdr:from>
      <xdr:col>0</xdr:col>
      <xdr:colOff>126999</xdr:colOff>
      <xdr:row>0</xdr:row>
      <xdr:rowOff>117591</xdr:rowOff>
    </xdr:from>
    <xdr:to>
      <xdr:col>1</xdr:col>
      <xdr:colOff>28223</xdr:colOff>
      <xdr:row>2</xdr:row>
      <xdr:rowOff>145815</xdr:rowOff>
    </xdr:to>
    <xdr:pic>
      <xdr:nvPicPr>
        <xdr:cNvPr id="39" name="Picture 38">
          <a:extLst>
            <a:ext uri="{FF2B5EF4-FFF2-40B4-BE49-F238E27FC236}">
              <a16:creationId xmlns:a16="http://schemas.microsoft.com/office/drawing/2014/main" id="{4E75376F-05FE-3B96-3FB6-F8487613E1A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23724" t="12727" r="22772" b="17273"/>
        <a:stretch>
          <a:fillRect/>
        </a:stretch>
      </xdr:blipFill>
      <xdr:spPr>
        <a:xfrm>
          <a:off x="126999" y="117591"/>
          <a:ext cx="512705" cy="395113"/>
        </a:xfrm>
        <a:prstGeom prst="rect">
          <a:avLst/>
        </a:prstGeom>
      </xdr:spPr>
    </xdr:pic>
    <xdr:clientData/>
  </xdr:twoCellAnchor>
  <xdr:twoCellAnchor editAs="absolute">
    <xdr:from>
      <xdr:col>2</xdr:col>
      <xdr:colOff>91251</xdr:colOff>
      <xdr:row>1</xdr:row>
      <xdr:rowOff>152406</xdr:rowOff>
    </xdr:from>
    <xdr:to>
      <xdr:col>4</xdr:col>
      <xdr:colOff>28223</xdr:colOff>
      <xdr:row>2</xdr:row>
      <xdr:rowOff>136407</xdr:rowOff>
    </xdr:to>
    <xdr:sp macro="" textlink="">
      <xdr:nvSpPr>
        <xdr:cNvPr id="40" name="TextBox 39">
          <a:extLst>
            <a:ext uri="{FF2B5EF4-FFF2-40B4-BE49-F238E27FC236}">
              <a16:creationId xmlns:a16="http://schemas.microsoft.com/office/drawing/2014/main" id="{58AEFA61-CE02-75A5-1193-6401314609C0}"/>
            </a:ext>
          </a:extLst>
        </xdr:cNvPr>
        <xdr:cNvSpPr txBox="1"/>
      </xdr:nvSpPr>
      <xdr:spPr>
        <a:xfrm>
          <a:off x="1314214" y="335850"/>
          <a:ext cx="1159935" cy="167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900"/>
            <a:t>Monthly</a:t>
          </a:r>
          <a:r>
            <a:rPr lang="en-IN" sz="900" baseline="0"/>
            <a:t> Report</a:t>
          </a:r>
          <a:endParaRPr lang="en-IN" sz="900"/>
        </a:p>
      </xdr:txBody>
    </xdr:sp>
    <xdr:clientData/>
  </xdr:twoCellAnchor>
  <xdr:twoCellAnchor editAs="absolute">
    <xdr:from>
      <xdr:col>1</xdr:col>
      <xdr:colOff>164630</xdr:colOff>
      <xdr:row>4</xdr:row>
      <xdr:rowOff>130765</xdr:rowOff>
    </xdr:from>
    <xdr:to>
      <xdr:col>3</xdr:col>
      <xdr:colOff>65853</xdr:colOff>
      <xdr:row>5</xdr:row>
      <xdr:rowOff>114767</xdr:rowOff>
    </xdr:to>
    <xdr:sp macro="" textlink="">
      <xdr:nvSpPr>
        <xdr:cNvPr id="44" name="TextBox 43">
          <a:extLst>
            <a:ext uri="{FF2B5EF4-FFF2-40B4-BE49-F238E27FC236}">
              <a16:creationId xmlns:a16="http://schemas.microsoft.com/office/drawing/2014/main" id="{6EE9C2D7-021F-5A07-67E8-21B166B4DCB7}"/>
            </a:ext>
          </a:extLst>
        </xdr:cNvPr>
        <xdr:cNvSpPr txBox="1"/>
      </xdr:nvSpPr>
      <xdr:spPr>
        <a:xfrm>
          <a:off x="776111" y="864543"/>
          <a:ext cx="1124186" cy="167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800"/>
            <a:t>No.</a:t>
          </a:r>
          <a:r>
            <a:rPr lang="en-IN" sz="800" baseline="0"/>
            <a:t> of Patient</a:t>
          </a:r>
          <a:endParaRPr lang="en-IN" sz="800"/>
        </a:p>
      </xdr:txBody>
    </xdr:sp>
    <xdr:clientData/>
  </xdr:twoCellAnchor>
  <xdr:twoCellAnchor editAs="absolute">
    <xdr:from>
      <xdr:col>1</xdr:col>
      <xdr:colOff>164630</xdr:colOff>
      <xdr:row>3</xdr:row>
      <xdr:rowOff>144878</xdr:rowOff>
    </xdr:from>
    <xdr:to>
      <xdr:col>3</xdr:col>
      <xdr:colOff>65853</xdr:colOff>
      <xdr:row>4</xdr:row>
      <xdr:rowOff>128879</xdr:rowOff>
    </xdr:to>
    <xdr:sp macro="" textlink="'Pivot Report'!B5">
      <xdr:nvSpPr>
        <xdr:cNvPr id="46" name="TextBox 45">
          <a:extLst>
            <a:ext uri="{FF2B5EF4-FFF2-40B4-BE49-F238E27FC236}">
              <a16:creationId xmlns:a16="http://schemas.microsoft.com/office/drawing/2014/main" id="{154A98F5-9797-6A60-6B79-048C4BAB7EA5}"/>
            </a:ext>
          </a:extLst>
        </xdr:cNvPr>
        <xdr:cNvSpPr txBox="1"/>
      </xdr:nvSpPr>
      <xdr:spPr>
        <a:xfrm>
          <a:off x="776111" y="695211"/>
          <a:ext cx="1124186" cy="167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05A207C2-8ECA-461B-9F83-2ACD9E233011}" type="TxLink">
            <a:rPr lang="en-US" sz="1100" b="1" i="0" u="none" strike="noStrike">
              <a:solidFill>
                <a:srgbClr val="000000"/>
              </a:solidFill>
              <a:latin typeface="Calibri"/>
              <a:ea typeface="Calibri"/>
              <a:cs typeface="Calibri"/>
            </a:rPr>
            <a:pPr algn="ctr"/>
            <a:t>513</a:t>
          </a:fld>
          <a:endParaRPr lang="en-US" b="1"/>
        </a:p>
      </xdr:txBody>
    </xdr:sp>
    <xdr:clientData/>
  </xdr:twoCellAnchor>
  <xdr:twoCellAnchor editAs="absolute">
    <xdr:from>
      <xdr:col>3</xdr:col>
      <xdr:colOff>136408</xdr:colOff>
      <xdr:row>4</xdr:row>
      <xdr:rowOff>130765</xdr:rowOff>
    </xdr:from>
    <xdr:to>
      <xdr:col>5</xdr:col>
      <xdr:colOff>37631</xdr:colOff>
      <xdr:row>5</xdr:row>
      <xdr:rowOff>114767</xdr:rowOff>
    </xdr:to>
    <xdr:sp macro="" textlink="">
      <xdr:nvSpPr>
        <xdr:cNvPr id="55" name="TextBox 54">
          <a:extLst>
            <a:ext uri="{FF2B5EF4-FFF2-40B4-BE49-F238E27FC236}">
              <a16:creationId xmlns:a16="http://schemas.microsoft.com/office/drawing/2014/main" id="{16A2844E-B99E-737D-BB9B-49C624FA3B7F}"/>
            </a:ext>
          </a:extLst>
        </xdr:cNvPr>
        <xdr:cNvSpPr txBox="1"/>
      </xdr:nvSpPr>
      <xdr:spPr>
        <a:xfrm>
          <a:off x="1970852" y="864543"/>
          <a:ext cx="1124186" cy="167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800"/>
            <a:t>Average</a:t>
          </a:r>
          <a:r>
            <a:rPr lang="en-IN" sz="800" baseline="0"/>
            <a:t> Wait Time</a:t>
          </a:r>
          <a:endParaRPr lang="en-IN" sz="800"/>
        </a:p>
      </xdr:txBody>
    </xdr:sp>
    <xdr:clientData/>
  </xdr:twoCellAnchor>
  <xdr:twoCellAnchor editAs="absolute">
    <xdr:from>
      <xdr:col>3</xdr:col>
      <xdr:colOff>136408</xdr:colOff>
      <xdr:row>3</xdr:row>
      <xdr:rowOff>144878</xdr:rowOff>
    </xdr:from>
    <xdr:to>
      <xdr:col>5</xdr:col>
      <xdr:colOff>37631</xdr:colOff>
      <xdr:row>4</xdr:row>
      <xdr:rowOff>128879</xdr:rowOff>
    </xdr:to>
    <xdr:sp macro="" textlink="'Pivot Report'!B10">
      <xdr:nvSpPr>
        <xdr:cNvPr id="56" name="TextBox 55">
          <a:extLst>
            <a:ext uri="{FF2B5EF4-FFF2-40B4-BE49-F238E27FC236}">
              <a16:creationId xmlns:a16="http://schemas.microsoft.com/office/drawing/2014/main" id="{C2B3D660-38B8-C1F0-D2B1-CF9860405455}"/>
            </a:ext>
          </a:extLst>
        </xdr:cNvPr>
        <xdr:cNvSpPr txBox="1"/>
      </xdr:nvSpPr>
      <xdr:spPr>
        <a:xfrm>
          <a:off x="1970852" y="695211"/>
          <a:ext cx="1124186" cy="167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48E1CE07-BF3C-488E-A949-D58F6FEEA9D6}" type="TxLink">
            <a:rPr lang="en-US" sz="1100" b="1" i="0" u="none" strike="noStrike">
              <a:solidFill>
                <a:srgbClr val="000000"/>
              </a:solidFill>
              <a:latin typeface="Calibri"/>
              <a:ea typeface="Calibri"/>
              <a:cs typeface="Calibri"/>
            </a:rPr>
            <a:pPr algn="ctr"/>
            <a:t>36.32</a:t>
          </a:fld>
          <a:endParaRPr lang="en-US" b="1"/>
        </a:p>
      </xdr:txBody>
    </xdr:sp>
    <xdr:clientData/>
  </xdr:twoCellAnchor>
  <xdr:twoCellAnchor editAs="absolute">
    <xdr:from>
      <xdr:col>5</xdr:col>
      <xdr:colOff>108186</xdr:colOff>
      <xdr:row>4</xdr:row>
      <xdr:rowOff>130765</xdr:rowOff>
    </xdr:from>
    <xdr:to>
      <xdr:col>7</xdr:col>
      <xdr:colOff>9409</xdr:colOff>
      <xdr:row>5</xdr:row>
      <xdr:rowOff>114767</xdr:rowOff>
    </xdr:to>
    <xdr:sp macro="" textlink="">
      <xdr:nvSpPr>
        <xdr:cNvPr id="57" name="TextBox 56">
          <a:extLst>
            <a:ext uri="{FF2B5EF4-FFF2-40B4-BE49-F238E27FC236}">
              <a16:creationId xmlns:a16="http://schemas.microsoft.com/office/drawing/2014/main" id="{86E8C520-C9F3-D657-F1A7-5566D8B14982}"/>
            </a:ext>
          </a:extLst>
        </xdr:cNvPr>
        <xdr:cNvSpPr txBox="1"/>
      </xdr:nvSpPr>
      <xdr:spPr>
        <a:xfrm>
          <a:off x="3165593" y="864543"/>
          <a:ext cx="1124186" cy="167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800"/>
            <a:t>Patient Satisfaction</a:t>
          </a:r>
          <a:r>
            <a:rPr lang="en-IN" sz="800" baseline="0"/>
            <a:t> Score</a:t>
          </a:r>
          <a:endParaRPr lang="en-IN" sz="800"/>
        </a:p>
      </xdr:txBody>
    </xdr:sp>
    <xdr:clientData/>
  </xdr:twoCellAnchor>
  <xdr:twoCellAnchor editAs="absolute">
    <xdr:from>
      <xdr:col>5</xdr:col>
      <xdr:colOff>108186</xdr:colOff>
      <xdr:row>3</xdr:row>
      <xdr:rowOff>144878</xdr:rowOff>
    </xdr:from>
    <xdr:to>
      <xdr:col>7</xdr:col>
      <xdr:colOff>9409</xdr:colOff>
      <xdr:row>4</xdr:row>
      <xdr:rowOff>128879</xdr:rowOff>
    </xdr:to>
    <xdr:sp macro="" textlink="'Pivot Report'!B15">
      <xdr:nvSpPr>
        <xdr:cNvPr id="58" name="TextBox 57">
          <a:extLst>
            <a:ext uri="{FF2B5EF4-FFF2-40B4-BE49-F238E27FC236}">
              <a16:creationId xmlns:a16="http://schemas.microsoft.com/office/drawing/2014/main" id="{5AE812A4-FBC6-9FCE-48E4-3508D663030F}"/>
            </a:ext>
          </a:extLst>
        </xdr:cNvPr>
        <xdr:cNvSpPr txBox="1"/>
      </xdr:nvSpPr>
      <xdr:spPr>
        <a:xfrm>
          <a:off x="3165593" y="695211"/>
          <a:ext cx="1124186" cy="167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7AD32E8A-D00D-4FE4-9BD6-B32A4709201C}" type="TxLink">
            <a:rPr lang="en-US" sz="1100" b="1" i="0" u="none" strike="noStrike">
              <a:solidFill>
                <a:srgbClr val="000000"/>
              </a:solidFill>
              <a:latin typeface="Calibri"/>
              <a:ea typeface="Calibri"/>
              <a:cs typeface="Calibri"/>
            </a:rPr>
            <a:pPr algn="ctr"/>
            <a:t>4.96</a:t>
          </a:fld>
          <a:endParaRPr lang="en-US" b="1"/>
        </a:p>
      </xdr:txBody>
    </xdr:sp>
    <xdr:clientData/>
  </xdr:twoCellAnchor>
  <xdr:twoCellAnchor editAs="oneCell">
    <xdr:from>
      <xdr:col>2</xdr:col>
      <xdr:colOff>446852</xdr:colOff>
      <xdr:row>3</xdr:row>
      <xdr:rowOff>86549</xdr:rowOff>
    </xdr:from>
    <xdr:to>
      <xdr:col>3</xdr:col>
      <xdr:colOff>42334</xdr:colOff>
      <xdr:row>4</xdr:row>
      <xdr:rowOff>110067</xdr:rowOff>
    </xdr:to>
    <xdr:pic>
      <xdr:nvPicPr>
        <xdr:cNvPr id="60" name="Graphic 59" descr="Male profile with solid fill">
          <a:extLst>
            <a:ext uri="{FF2B5EF4-FFF2-40B4-BE49-F238E27FC236}">
              <a16:creationId xmlns:a16="http://schemas.microsoft.com/office/drawing/2014/main" id="{C071C86A-D403-709A-9B74-DF747CCB8286}"/>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669815" y="636882"/>
          <a:ext cx="206963" cy="206963"/>
        </a:xfrm>
        <a:prstGeom prst="rect">
          <a:avLst/>
        </a:prstGeom>
      </xdr:spPr>
    </xdr:pic>
    <xdr:clientData/>
  </xdr:twoCellAnchor>
  <xdr:twoCellAnchor editAs="oneCell">
    <xdr:from>
      <xdr:col>4</xdr:col>
      <xdr:colOff>422188</xdr:colOff>
      <xdr:row>3</xdr:row>
      <xdr:rowOff>79964</xdr:rowOff>
    </xdr:from>
    <xdr:to>
      <xdr:col>5</xdr:col>
      <xdr:colOff>11288</xdr:colOff>
      <xdr:row>4</xdr:row>
      <xdr:rowOff>96618</xdr:rowOff>
    </xdr:to>
    <xdr:pic>
      <xdr:nvPicPr>
        <xdr:cNvPr id="64" name="Graphic 63" descr="Hourglass Finished with solid fill">
          <a:extLst>
            <a:ext uri="{FF2B5EF4-FFF2-40B4-BE49-F238E27FC236}">
              <a16:creationId xmlns:a16="http://schemas.microsoft.com/office/drawing/2014/main" id="{78BA6440-CCAC-D28A-2087-9C9582DFF6FA}"/>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852350" y="636018"/>
          <a:ext cx="196641" cy="202005"/>
        </a:xfrm>
        <a:prstGeom prst="rect">
          <a:avLst/>
        </a:prstGeom>
      </xdr:spPr>
    </xdr:pic>
    <xdr:clientData/>
  </xdr:twoCellAnchor>
  <xdr:twoCellAnchor editAs="oneCell">
    <xdr:from>
      <xdr:col>6</xdr:col>
      <xdr:colOff>386149</xdr:colOff>
      <xdr:row>3</xdr:row>
      <xdr:rowOff>75261</xdr:rowOff>
    </xdr:from>
    <xdr:to>
      <xdr:col>6</xdr:col>
      <xdr:colOff>593064</xdr:colOff>
      <xdr:row>4</xdr:row>
      <xdr:rowOff>98492</xdr:rowOff>
    </xdr:to>
    <xdr:pic>
      <xdr:nvPicPr>
        <xdr:cNvPr id="66" name="Graphic 65" descr="Stars with solid fill">
          <a:extLst>
            <a:ext uri="{FF2B5EF4-FFF2-40B4-BE49-F238E27FC236}">
              <a16:creationId xmlns:a16="http://schemas.microsoft.com/office/drawing/2014/main" id="{3FF7C672-E011-FF40-728E-91B82DF3808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031392" y="631315"/>
          <a:ext cx="206915" cy="208582"/>
        </a:xfrm>
        <a:prstGeom prst="rect">
          <a:avLst/>
        </a:prstGeom>
      </xdr:spPr>
    </xdr:pic>
    <xdr:clientData/>
  </xdr:twoCellAnchor>
  <xdr:twoCellAnchor editAs="oneCell">
    <xdr:from>
      <xdr:col>0</xdr:col>
      <xdr:colOff>75259</xdr:colOff>
      <xdr:row>3</xdr:row>
      <xdr:rowOff>79962</xdr:rowOff>
    </xdr:from>
    <xdr:to>
      <xdr:col>1</xdr:col>
      <xdr:colOff>108187</xdr:colOff>
      <xdr:row>15</xdr:row>
      <xdr:rowOff>126999</xdr:rowOff>
    </xdr:to>
    <mc:AlternateContent xmlns:mc="http://schemas.openxmlformats.org/markup-compatibility/2006" xmlns:a14="http://schemas.microsoft.com/office/drawing/2010/main">
      <mc:Choice Requires="a14">
        <xdr:graphicFrame macro="">
          <xdr:nvGraphicFramePr>
            <xdr:cNvPr id="67" name="Date (Month) 1">
              <a:extLst>
                <a:ext uri="{FF2B5EF4-FFF2-40B4-BE49-F238E27FC236}">
                  <a16:creationId xmlns:a16="http://schemas.microsoft.com/office/drawing/2014/main" id="{D141B9D3-D5A9-44B7-8ED2-9488DAE6F88E}"/>
                </a:ext>
              </a:extLst>
            </xdr:cNvPr>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mlns="">
        <xdr:sp macro="" textlink="">
          <xdr:nvSpPr>
            <xdr:cNvPr id="0" name=""/>
            <xdr:cNvSpPr>
              <a:spLocks noTextEdit="1"/>
            </xdr:cNvSpPr>
          </xdr:nvSpPr>
          <xdr:spPr>
            <a:xfrm>
              <a:off x="75259" y="630295"/>
              <a:ext cx="644409" cy="22483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75259</xdr:colOff>
      <xdr:row>5</xdr:row>
      <xdr:rowOff>112892</xdr:rowOff>
    </xdr:from>
    <xdr:to>
      <xdr:col>3</xdr:col>
      <xdr:colOff>159925</xdr:colOff>
      <xdr:row>7</xdr:row>
      <xdr:rowOff>150520</xdr:rowOff>
    </xdr:to>
    <xdr:graphicFrame macro="">
      <xdr:nvGraphicFramePr>
        <xdr:cNvPr id="68" name="Chart 67">
          <a:hlinkClick xmlns:r="http://schemas.openxmlformats.org/officeDocument/2006/relationships" r:id="rId8"/>
          <a:extLst>
            <a:ext uri="{FF2B5EF4-FFF2-40B4-BE49-F238E27FC236}">
              <a16:creationId xmlns:a16="http://schemas.microsoft.com/office/drawing/2014/main" id="{D1B0BEAC-21E3-4603-993E-355038526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122296</xdr:colOff>
      <xdr:row>5</xdr:row>
      <xdr:rowOff>145814</xdr:rowOff>
    </xdr:from>
    <xdr:to>
      <xdr:col>5</xdr:col>
      <xdr:colOff>37630</xdr:colOff>
      <xdr:row>7</xdr:row>
      <xdr:rowOff>9406</xdr:rowOff>
    </xdr:to>
    <xdr:graphicFrame macro="">
      <xdr:nvGraphicFramePr>
        <xdr:cNvPr id="70" name="Chart 69">
          <a:hlinkClick xmlns:r="http://schemas.openxmlformats.org/officeDocument/2006/relationships" r:id="rId10"/>
          <a:extLst>
            <a:ext uri="{FF2B5EF4-FFF2-40B4-BE49-F238E27FC236}">
              <a16:creationId xmlns:a16="http://schemas.microsoft.com/office/drawing/2014/main" id="{92DE294E-00A2-4887-9665-EB222F2D80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103482</xdr:colOff>
      <xdr:row>3</xdr:row>
      <xdr:rowOff>37630</xdr:rowOff>
    </xdr:from>
    <xdr:to>
      <xdr:col>6</xdr:col>
      <xdr:colOff>611481</xdr:colOff>
      <xdr:row>7</xdr:row>
      <xdr:rowOff>4706</xdr:rowOff>
    </xdr:to>
    <xdr:graphicFrame macro="">
      <xdr:nvGraphicFramePr>
        <xdr:cNvPr id="71" name="Chart 70">
          <a:hlinkClick xmlns:r="http://schemas.openxmlformats.org/officeDocument/2006/relationships" r:id="rId12"/>
          <a:extLst>
            <a:ext uri="{FF2B5EF4-FFF2-40B4-BE49-F238E27FC236}">
              <a16:creationId xmlns:a16="http://schemas.microsoft.com/office/drawing/2014/main" id="{49AD8ED5-F616-4F7A-87B2-2893E26905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164629</xdr:colOff>
          <xdr:row>7</xdr:row>
          <xdr:rowOff>54700</xdr:rowOff>
        </xdr:from>
        <xdr:to>
          <xdr:col>7</xdr:col>
          <xdr:colOff>4704</xdr:colOff>
          <xdr:row>9</xdr:row>
          <xdr:rowOff>61149</xdr:rowOff>
        </xdr:to>
        <xdr:pic>
          <xdr:nvPicPr>
            <xdr:cNvPr id="93" name="Picture 92">
              <a:extLst>
                <a:ext uri="{FF2B5EF4-FFF2-40B4-BE49-F238E27FC236}">
                  <a16:creationId xmlns:a16="http://schemas.microsoft.com/office/drawing/2014/main" id="{8B57E12E-DB48-B794-B065-3EEC5E055DB1}"/>
                </a:ext>
              </a:extLst>
            </xdr:cNvPr>
            <xdr:cNvPicPr>
              <a:picLocks noChangeAspect="1" noChangeArrowheads="1"/>
              <a:extLst>
                <a:ext uri="{84589F7E-364E-4C9E-8A38-B11213B215E9}">
                  <a14:cameraTool cellRange="'Pivot Report'!$B$24:$E$26" spid="_x0000_s2095"/>
                </a:ext>
              </a:extLst>
            </xdr:cNvPicPr>
          </xdr:nvPicPr>
          <xdr:blipFill>
            <a:blip xmlns:r="http://schemas.openxmlformats.org/officeDocument/2006/relationships" r:embed="rId14"/>
            <a:srcRect/>
            <a:stretch>
              <a:fillRect/>
            </a:stretch>
          </xdr:blipFill>
          <xdr:spPr bwMode="auto">
            <a:xfrm>
              <a:off x="776110" y="1338811"/>
              <a:ext cx="3508964" cy="373338"/>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1</xdr:col>
      <xdr:colOff>164630</xdr:colOff>
      <xdr:row>9</xdr:row>
      <xdr:rowOff>122296</xdr:rowOff>
    </xdr:from>
    <xdr:to>
      <xdr:col>7</xdr:col>
      <xdr:colOff>14111</xdr:colOff>
      <xdr:row>15</xdr:row>
      <xdr:rowOff>133898</xdr:rowOff>
    </xdr:to>
    <xdr:graphicFrame macro="">
      <xdr:nvGraphicFramePr>
        <xdr:cNvPr id="94" name="Chart 93">
          <a:extLst>
            <a:ext uri="{FF2B5EF4-FFF2-40B4-BE49-F238E27FC236}">
              <a16:creationId xmlns:a16="http://schemas.microsoft.com/office/drawing/2014/main" id="{19174682-EEA1-4A44-AAC2-831FFCE9ED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2</xdr:col>
      <xdr:colOff>554099</xdr:colOff>
      <xdr:row>14</xdr:row>
      <xdr:rowOff>148640</xdr:rowOff>
    </xdr:from>
    <xdr:to>
      <xdr:col>4</xdr:col>
      <xdr:colOff>455322</xdr:colOff>
      <xdr:row>15</xdr:row>
      <xdr:rowOff>105364</xdr:rowOff>
    </xdr:to>
    <xdr:sp macro="" textlink="">
      <xdr:nvSpPr>
        <xdr:cNvPr id="5" name="TextBox 4">
          <a:extLst>
            <a:ext uri="{FF2B5EF4-FFF2-40B4-BE49-F238E27FC236}">
              <a16:creationId xmlns:a16="http://schemas.microsoft.com/office/drawing/2014/main" id="{E81E4084-0796-FFBE-D974-7ABC05A18FDF}"/>
            </a:ext>
          </a:extLst>
        </xdr:cNvPr>
        <xdr:cNvSpPr txBox="1"/>
      </xdr:nvSpPr>
      <xdr:spPr>
        <a:xfrm>
          <a:off x="1777062" y="2716862"/>
          <a:ext cx="1124186" cy="140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700"/>
            <a:t>No.</a:t>
          </a:r>
          <a:r>
            <a:rPr lang="en-IN" sz="700" baseline="0"/>
            <a:t> of Patient By Age Group</a:t>
          </a:r>
          <a:endParaRPr lang="en-IN" sz="700"/>
        </a:p>
      </xdr:txBody>
    </xdr:sp>
    <xdr:clientData/>
  </xdr:twoCellAnchor>
  <xdr:twoCellAnchor>
    <xdr:from>
      <xdr:col>7</xdr:col>
      <xdr:colOff>56445</xdr:colOff>
      <xdr:row>0</xdr:row>
      <xdr:rowOff>65850</xdr:rowOff>
    </xdr:from>
    <xdr:to>
      <xdr:col>9</xdr:col>
      <xdr:colOff>164630</xdr:colOff>
      <xdr:row>6</xdr:row>
      <xdr:rowOff>164629</xdr:rowOff>
    </xdr:to>
    <xdr:graphicFrame macro="">
      <xdr:nvGraphicFramePr>
        <xdr:cNvPr id="11" name="Chart 10">
          <a:extLst>
            <a:ext uri="{FF2B5EF4-FFF2-40B4-BE49-F238E27FC236}">
              <a16:creationId xmlns:a16="http://schemas.microsoft.com/office/drawing/2014/main" id="{1D6ABDE5-120F-4481-824B-2F6AAB5643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7</xdr:col>
      <xdr:colOff>142055</xdr:colOff>
      <xdr:row>6</xdr:row>
      <xdr:rowOff>37631</xdr:rowOff>
    </xdr:from>
    <xdr:to>
      <xdr:col>9</xdr:col>
      <xdr:colOff>43278</xdr:colOff>
      <xdr:row>6</xdr:row>
      <xdr:rowOff>177800</xdr:rowOff>
    </xdr:to>
    <xdr:sp macro="" textlink="">
      <xdr:nvSpPr>
        <xdr:cNvPr id="12" name="TextBox 11">
          <a:extLst>
            <a:ext uri="{FF2B5EF4-FFF2-40B4-BE49-F238E27FC236}">
              <a16:creationId xmlns:a16="http://schemas.microsoft.com/office/drawing/2014/main" id="{C59930CB-259C-2E2D-2E9C-50CE03C122C2}"/>
            </a:ext>
          </a:extLst>
        </xdr:cNvPr>
        <xdr:cNvSpPr txBox="1"/>
      </xdr:nvSpPr>
      <xdr:spPr>
        <a:xfrm>
          <a:off x="4422425" y="1138298"/>
          <a:ext cx="1124186" cy="140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700"/>
            <a:t>Patient</a:t>
          </a:r>
          <a:r>
            <a:rPr lang="en-IN" sz="700" baseline="0"/>
            <a:t> Attend Status</a:t>
          </a:r>
          <a:endParaRPr lang="en-IN" sz="700"/>
        </a:p>
      </xdr:txBody>
    </xdr:sp>
    <xdr:clientData/>
  </xdr:twoCellAnchor>
  <xdr:twoCellAnchor>
    <xdr:from>
      <xdr:col>9</xdr:col>
      <xdr:colOff>343371</xdr:colOff>
      <xdr:row>0</xdr:row>
      <xdr:rowOff>70555</xdr:rowOff>
    </xdr:from>
    <xdr:to>
      <xdr:col>11</xdr:col>
      <xdr:colOff>235185</xdr:colOff>
      <xdr:row>6</xdr:row>
      <xdr:rowOff>164629</xdr:rowOff>
    </xdr:to>
    <xdr:graphicFrame macro="">
      <xdr:nvGraphicFramePr>
        <xdr:cNvPr id="13" name="Chart 12">
          <a:extLst>
            <a:ext uri="{FF2B5EF4-FFF2-40B4-BE49-F238E27FC236}">
              <a16:creationId xmlns:a16="http://schemas.microsoft.com/office/drawing/2014/main" id="{45CE7822-7A97-4416-A8B1-B25605F82A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9</xdr:col>
      <xdr:colOff>346194</xdr:colOff>
      <xdr:row>6</xdr:row>
      <xdr:rowOff>39513</xdr:rowOff>
    </xdr:from>
    <xdr:to>
      <xdr:col>11</xdr:col>
      <xdr:colOff>247417</xdr:colOff>
      <xdr:row>6</xdr:row>
      <xdr:rowOff>179682</xdr:rowOff>
    </xdr:to>
    <xdr:sp macro="" textlink="">
      <xdr:nvSpPr>
        <xdr:cNvPr id="14" name="TextBox 13">
          <a:extLst>
            <a:ext uri="{FF2B5EF4-FFF2-40B4-BE49-F238E27FC236}">
              <a16:creationId xmlns:a16="http://schemas.microsoft.com/office/drawing/2014/main" id="{55CB3021-B910-B143-F402-A2007FC83A7C}"/>
            </a:ext>
          </a:extLst>
        </xdr:cNvPr>
        <xdr:cNvSpPr txBox="1"/>
      </xdr:nvSpPr>
      <xdr:spPr>
        <a:xfrm>
          <a:off x="5849527" y="1140180"/>
          <a:ext cx="1124186" cy="140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700"/>
            <a:t>Gender</a:t>
          </a:r>
          <a:r>
            <a:rPr lang="en-IN" sz="700" baseline="0"/>
            <a:t> wise Analysis</a:t>
          </a:r>
          <a:endParaRPr lang="en-IN" sz="700"/>
        </a:p>
      </xdr:txBody>
    </xdr:sp>
    <xdr:clientData/>
  </xdr:twoCellAnchor>
  <xdr:twoCellAnchor>
    <xdr:from>
      <xdr:col>7</xdr:col>
      <xdr:colOff>61149</xdr:colOff>
      <xdr:row>7</xdr:row>
      <xdr:rowOff>65853</xdr:rowOff>
    </xdr:from>
    <xdr:to>
      <xdr:col>11</xdr:col>
      <xdr:colOff>357482</xdr:colOff>
      <xdr:row>15</xdr:row>
      <xdr:rowOff>103481</xdr:rowOff>
    </xdr:to>
    <xdr:graphicFrame macro="">
      <xdr:nvGraphicFramePr>
        <xdr:cNvPr id="15" name="Chart 14">
          <a:extLst>
            <a:ext uri="{FF2B5EF4-FFF2-40B4-BE49-F238E27FC236}">
              <a16:creationId xmlns:a16="http://schemas.microsoft.com/office/drawing/2014/main" id="{B3D76FA8-DAA0-4749-8B1A-0666A5F1F6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8</xdr:col>
      <xdr:colOff>268113</xdr:colOff>
      <xdr:row>14</xdr:row>
      <xdr:rowOff>149581</xdr:rowOff>
    </xdr:from>
    <xdr:to>
      <xdr:col>10</xdr:col>
      <xdr:colOff>442148</xdr:colOff>
      <xdr:row>15</xdr:row>
      <xdr:rowOff>89370</xdr:rowOff>
    </xdr:to>
    <xdr:sp macro="" textlink="">
      <xdr:nvSpPr>
        <xdr:cNvPr id="18" name="TextBox 17">
          <a:extLst>
            <a:ext uri="{FF2B5EF4-FFF2-40B4-BE49-F238E27FC236}">
              <a16:creationId xmlns:a16="http://schemas.microsoft.com/office/drawing/2014/main" id="{E69F9EAB-CF07-7704-EF09-5926436DD246}"/>
            </a:ext>
          </a:extLst>
        </xdr:cNvPr>
        <xdr:cNvSpPr txBox="1"/>
      </xdr:nvSpPr>
      <xdr:spPr>
        <a:xfrm>
          <a:off x="5159965" y="2717803"/>
          <a:ext cx="1396998" cy="1232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700"/>
            <a:t>N</a:t>
          </a:r>
          <a:r>
            <a:rPr lang="en-IN" sz="700" baseline="0"/>
            <a:t>o. of Patient by Department Referral</a:t>
          </a:r>
          <a:endParaRPr lang="en-IN" sz="700"/>
        </a:p>
      </xdr:txBody>
    </xdr:sp>
    <xdr:clientData/>
  </xdr:twoCellAnchor>
  <xdr:twoCellAnchor editAs="oneCell">
    <xdr:from>
      <xdr:col>5</xdr:col>
      <xdr:colOff>375844</xdr:colOff>
      <xdr:row>0</xdr:row>
      <xdr:rowOff>55541</xdr:rowOff>
    </xdr:from>
    <xdr:to>
      <xdr:col>6</xdr:col>
      <xdr:colOff>587754</xdr:colOff>
      <xdr:row>2</xdr:row>
      <xdr:rowOff>180202</xdr:rowOff>
    </xdr:to>
    <mc:AlternateContent xmlns:mc="http://schemas.openxmlformats.org/markup-compatibility/2006">
      <mc:Choice xmlns:a14="http://schemas.microsoft.com/office/drawing/2010/main" Requires="a14">
        <xdr:graphicFrame macro="">
          <xdr:nvGraphicFramePr>
            <xdr:cNvPr id="21" name="Date (Year)">
              <a:extLst>
                <a:ext uri="{FF2B5EF4-FFF2-40B4-BE49-F238E27FC236}">
                  <a16:creationId xmlns:a16="http://schemas.microsoft.com/office/drawing/2014/main" id="{2C4A61C6-5FEC-4442-959C-0DB4483C9FD9}"/>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3433251" y="55541"/>
              <a:ext cx="823392" cy="491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13138</xdr:colOff>
      <xdr:row>0</xdr:row>
      <xdr:rowOff>13139</xdr:rowOff>
    </xdr:from>
    <xdr:to>
      <xdr:col>13</xdr:col>
      <xdr:colOff>0</xdr:colOff>
      <xdr:row>14</xdr:row>
      <xdr:rowOff>5645</xdr:rowOff>
    </xdr:to>
    <xdr:graphicFrame macro="">
      <xdr:nvGraphicFramePr>
        <xdr:cNvPr id="2" name="Chart 1">
          <a:extLst>
            <a:ext uri="{FF2B5EF4-FFF2-40B4-BE49-F238E27FC236}">
              <a16:creationId xmlns:a16="http://schemas.microsoft.com/office/drawing/2014/main" id="{7CFD9F70-BFA0-4107-9236-97AAC41FF0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276581</xdr:colOff>
      <xdr:row>14</xdr:row>
      <xdr:rowOff>39512</xdr:rowOff>
    </xdr:from>
    <xdr:to>
      <xdr:col>11</xdr:col>
      <xdr:colOff>107248</xdr:colOff>
      <xdr:row>15</xdr:row>
      <xdr:rowOff>152401</xdr:rowOff>
    </xdr:to>
    <xdr:sp macro="" textlink="">
      <xdr:nvSpPr>
        <xdr:cNvPr id="3" name="TextBox 2">
          <a:extLst>
            <a:ext uri="{FF2B5EF4-FFF2-40B4-BE49-F238E27FC236}">
              <a16:creationId xmlns:a16="http://schemas.microsoft.com/office/drawing/2014/main" id="{49C4036D-37E9-FEE2-2645-69B2988BDF62}"/>
            </a:ext>
          </a:extLst>
        </xdr:cNvPr>
        <xdr:cNvSpPr txBox="1"/>
      </xdr:nvSpPr>
      <xdr:spPr>
        <a:xfrm>
          <a:off x="886181" y="2568223"/>
          <a:ext cx="5926667" cy="293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IN" sz="1100"/>
            <a:t>*</a:t>
          </a:r>
          <a:r>
            <a:rPr lang="en-IN" sz="1100" baseline="0"/>
            <a:t> Showing a Daily Trend with an area sparkline to spot patterns like busy days or seasonal Trends.</a:t>
          </a:r>
          <a:endParaRPr lang="en-IN" sz="1100"/>
        </a:p>
      </xdr:txBody>
    </xdr:sp>
    <xdr:clientData/>
  </xdr:twoCellAnchor>
</xdr:wsDr>
</file>

<file path=xl/drawings/drawing3.xml><?xml version="1.0" encoding="utf-8"?>
<c:userShapes xmlns:c="http://schemas.openxmlformats.org/drawingml/2006/chart">
  <cdr:relSizeAnchor xmlns:cdr="http://schemas.openxmlformats.org/drawingml/2006/chartDrawing">
    <cdr:from>
      <cdr:x>0.00785</cdr:x>
      <cdr:y>0.0137</cdr:y>
    </cdr:from>
    <cdr:to>
      <cdr:x>0.04329</cdr:x>
      <cdr:y>0.11094</cdr:y>
    </cdr:to>
    <cdr:pic>
      <cdr:nvPicPr>
        <cdr:cNvPr id="3" name="Graphic 2"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11617E1B-E00D-ABD0-E67A-CD1491378F88}"/>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62089" y="39511"/>
          <a:ext cx="280373" cy="280373"/>
        </a:xfrm>
        <a:prstGeom xmlns:a="http://schemas.openxmlformats.org/drawingml/2006/main" prst="rect">
          <a:avLst/>
        </a:prstGeom>
      </cdr:spPr>
    </cdr:pic>
  </cdr:relSizeAnchor>
</c:userShapes>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22860</xdr:colOff>
      <xdr:row>14</xdr:row>
      <xdr:rowOff>15240</xdr:rowOff>
    </xdr:to>
    <xdr:graphicFrame macro="">
      <xdr:nvGraphicFramePr>
        <xdr:cNvPr id="2" name="Chart 1">
          <a:extLst>
            <a:ext uri="{FF2B5EF4-FFF2-40B4-BE49-F238E27FC236}">
              <a16:creationId xmlns:a16="http://schemas.microsoft.com/office/drawing/2014/main" id="{D1660679-0902-41F4-8A12-2444E354D6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108864</xdr:colOff>
      <xdr:row>14</xdr:row>
      <xdr:rowOff>64324</xdr:rowOff>
    </xdr:from>
    <xdr:to>
      <xdr:col>11</xdr:col>
      <xdr:colOff>351320</xdr:colOff>
      <xdr:row>16</xdr:row>
      <xdr:rowOff>153389</xdr:rowOff>
    </xdr:to>
    <xdr:sp macro="" textlink="">
      <xdr:nvSpPr>
        <xdr:cNvPr id="3" name="TextBox 2">
          <a:extLst>
            <a:ext uri="{FF2B5EF4-FFF2-40B4-BE49-F238E27FC236}">
              <a16:creationId xmlns:a16="http://schemas.microsoft.com/office/drawing/2014/main" id="{49C3E607-351F-3454-ABC6-0A42C4A6DC7E}"/>
            </a:ext>
          </a:extLst>
        </xdr:cNvPr>
        <xdr:cNvSpPr txBox="1"/>
      </xdr:nvSpPr>
      <xdr:spPr>
        <a:xfrm>
          <a:off x="108864" y="2627415"/>
          <a:ext cx="6937170" cy="4552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Use An Area Chart to track daily changes</a:t>
          </a:r>
          <a:r>
            <a:rPr lang="en-IN" sz="1100" baseline="0"/>
            <a:t> and highlight days with longer wait times that might need improvements.</a:t>
          </a:r>
          <a:endParaRPr lang="en-IN" sz="1100"/>
        </a:p>
      </xdr:txBody>
    </xdr:sp>
    <xdr:clientData/>
  </xdr:twoCellAnchor>
  <xdr:twoCellAnchor editAs="oneCell">
    <xdr:from>
      <xdr:col>0</xdr:col>
      <xdr:colOff>49481</xdr:colOff>
      <xdr:row>0</xdr:row>
      <xdr:rowOff>44533</xdr:rowOff>
    </xdr:from>
    <xdr:to>
      <xdr:col>0</xdr:col>
      <xdr:colOff>329854</xdr:colOff>
      <xdr:row>1</xdr:row>
      <xdr:rowOff>106612</xdr:rowOff>
    </xdr:to>
    <xdr:pic>
      <xdr:nvPicPr>
        <xdr:cNvPr id="4" name="Graphic 1" descr="Home with solid fill">
          <a:hlinkClick xmlns:r="http://schemas.openxmlformats.org/officeDocument/2006/relationships" r:id="rId2"/>
          <a:extLst>
            <a:ext uri="{FF2B5EF4-FFF2-40B4-BE49-F238E27FC236}">
              <a16:creationId xmlns:a16="http://schemas.microsoft.com/office/drawing/2014/main" id="{030C2281-4C51-97D6-ECE5-F6FD7380D27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481" y="44533"/>
          <a:ext cx="280373" cy="24515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108864</xdr:colOff>
      <xdr:row>14</xdr:row>
      <xdr:rowOff>64324</xdr:rowOff>
    </xdr:from>
    <xdr:to>
      <xdr:col>11</xdr:col>
      <xdr:colOff>351320</xdr:colOff>
      <xdr:row>16</xdr:row>
      <xdr:rowOff>153389</xdr:rowOff>
    </xdr:to>
    <xdr:sp macro="" textlink="">
      <xdr:nvSpPr>
        <xdr:cNvPr id="3" name="TextBox 2">
          <a:extLst>
            <a:ext uri="{FF2B5EF4-FFF2-40B4-BE49-F238E27FC236}">
              <a16:creationId xmlns:a16="http://schemas.microsoft.com/office/drawing/2014/main" id="{160624C3-55AE-402E-B063-1DA944ED32BB}"/>
            </a:ext>
          </a:extLst>
        </xdr:cNvPr>
        <xdr:cNvSpPr txBox="1"/>
      </xdr:nvSpPr>
      <xdr:spPr>
        <a:xfrm>
          <a:off x="108864" y="2624644"/>
          <a:ext cx="6948056" cy="454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Use An Area Chart to</a:t>
          </a:r>
          <a:r>
            <a:rPr lang="en-IN" sz="1100" baseline="0"/>
            <a:t> show trends, spot drop in satisfaction, and link them to busy times or challenges.</a:t>
          </a:r>
        </a:p>
        <a:p>
          <a:endParaRPr lang="en-IN" sz="1100"/>
        </a:p>
      </xdr:txBody>
    </xdr:sp>
    <xdr:clientData/>
  </xdr:twoCellAnchor>
  <xdr:twoCellAnchor>
    <xdr:from>
      <xdr:col>0</xdr:col>
      <xdr:colOff>0</xdr:colOff>
      <xdr:row>0</xdr:row>
      <xdr:rowOff>0</xdr:rowOff>
    </xdr:from>
    <xdr:to>
      <xdr:col>13</xdr:col>
      <xdr:colOff>9584</xdr:colOff>
      <xdr:row>14</xdr:row>
      <xdr:rowOff>4792</xdr:rowOff>
    </xdr:to>
    <xdr:graphicFrame macro="">
      <xdr:nvGraphicFramePr>
        <xdr:cNvPr id="6" name="Chart 5">
          <a:extLst>
            <a:ext uri="{FF2B5EF4-FFF2-40B4-BE49-F238E27FC236}">
              <a16:creationId xmlns:a16="http://schemas.microsoft.com/office/drawing/2014/main" id="{976021CF-4B10-484C-8636-0E3F8D2493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19173</xdr:colOff>
      <xdr:row>0</xdr:row>
      <xdr:rowOff>23963</xdr:rowOff>
    </xdr:from>
    <xdr:to>
      <xdr:col>0</xdr:col>
      <xdr:colOff>349849</xdr:colOff>
      <xdr:row>1</xdr:row>
      <xdr:rowOff>172526</xdr:rowOff>
    </xdr:to>
    <xdr:pic>
      <xdr:nvPicPr>
        <xdr:cNvPr id="10" name="Graphic 9" descr="Home with solid fill">
          <a:hlinkClick xmlns:r="http://schemas.openxmlformats.org/officeDocument/2006/relationships" r:id="rId2"/>
          <a:extLst>
            <a:ext uri="{FF2B5EF4-FFF2-40B4-BE49-F238E27FC236}">
              <a16:creationId xmlns:a16="http://schemas.microsoft.com/office/drawing/2014/main" id="{EE72764B-7C0B-7845-A1AC-E13074D60E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73" y="23963"/>
          <a:ext cx="330676" cy="33067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37782</xdr:colOff>
      <xdr:row>23</xdr:row>
      <xdr:rowOff>139290</xdr:rowOff>
    </xdr:from>
    <xdr:to>
      <xdr:col>5</xdr:col>
      <xdr:colOff>221225</xdr:colOff>
      <xdr:row>25</xdr:row>
      <xdr:rowOff>172063</xdr:rowOff>
    </xdr:to>
    <xdr:graphicFrame macro="">
      <xdr:nvGraphicFramePr>
        <xdr:cNvPr id="8" name="Chart 7">
          <a:extLst>
            <a:ext uri="{FF2B5EF4-FFF2-40B4-BE49-F238E27FC236}">
              <a16:creationId xmlns:a16="http://schemas.microsoft.com/office/drawing/2014/main" id="{3EB0B53A-F5E3-2E66-EA82-E20EDC014C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17708333" createdVersion="5" refreshedVersion="8" minRefreshableVersion="3" recordCount="0" supportSubquery="1" supportAdvancedDrill="1" xr:uid="{C8F0E260-2071-4740-898E-BD0E7A6FD177}">
  <cacheSource type="external" connectionId="3"/>
  <cacheFields count="4">
    <cacheField name="[Measures].[Distinct Count of Patient Id]" caption="Distinct Count of Patient Id" numFmtId="0" hierarchy="24" level="32767"/>
    <cacheField name="[Calender_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2"/>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18055556" createdVersion="5" refreshedVersion="8" minRefreshableVersion="3" recordCount="0" supportSubquery="1" supportAdvancedDrill="1" xr:uid="{3B085BF1-C075-487E-B429-0709F253FFD9}">
  <cacheSource type="external" connectionId="3"/>
  <cacheFields count="3">
    <cacheField name="[Measures].[Distinct Count of Patient Id]" caption="Distinct Count of Patient Id" numFmtId="0" hierarchy="24"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1828704" createdVersion="5" refreshedVersion="8" minRefreshableVersion="3" recordCount="0" supportSubquery="1" supportAdvancedDrill="1" xr:uid="{B982077E-FBEC-4CFD-9460-8A34F2960C51}">
  <cacheSource type="external" connectionId="3"/>
  <cacheFields count="3">
    <cacheField name="[Measures].[Average of Patient Waittime]" caption="Average of Patient Waittime" numFmtId="0" hierarchy="26"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18518518" createdVersion="5" refreshedVersion="8" minRefreshableVersion="3" recordCount="0" supportSubquery="1" supportAdvancedDrill="1" xr:uid="{04AB5D56-4422-4240-AFEA-5FFF8D72CB8F}">
  <cacheSource type="external" connectionId="3"/>
  <cacheFields count="3">
    <cacheField name="[Measures].[Average of Patient Satisfaction Score]" caption="Average of Patient Satisfaction Score" numFmtId="0" hierarchy="28"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1898148" createdVersion="5" refreshedVersion="8" minRefreshableVersion="3" recordCount="0" supportSubquery="1" supportAdvancedDrill="1" xr:uid="{657E9A99-31FB-4E49-8317-0FA940420AA9}">
  <cacheSource type="external" connectionId="3"/>
  <cacheFields count="4">
    <cacheField name="[Calender_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e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19791665" createdVersion="5" refreshedVersion="8" minRefreshableVersion="3" recordCount="0" supportSubquery="1" supportAdvancedDrill="1" xr:uid="{5B472AA0-A7BB-4F03-81AD-8EC1317C3D81}">
  <cacheSource type="external" connectionId="3"/>
  <cacheFields count="4">
    <cacheField name="[Calender_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e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20254627" createdVersion="5" refreshedVersion="8" minRefreshableVersion="3" recordCount="0" supportSubquery="1" supportAdvancedDrill="1" xr:uid="{FBBA84B4-C265-4510-8F10-01C411B6043C}">
  <cacheSource type="external" connectionId="3"/>
  <cacheFields count="5">
    <cacheField name="[Calender_Table].[Date (Month)].[Date (Month)]" caption="Date (Month)" numFmtId="0" hierarchy="1" level="1">
      <sharedItems containsSemiMixedTypes="0" containsNonDate="0" containsString="0"/>
    </cacheField>
    <cacheField name="[Measures].[Count of Patient Admission Flag]" caption="Count of Patient Admission Flag" numFmtId="0" hierarchy="29" level="32767"/>
    <cacheField name="[Hospital Emergency Room Data].[Patient Admission Flag].[Patient Admission Flag]" caption="Patient Admission Flag" numFmtId="0" hierarchy="13" level="1">
      <sharedItems count="2">
        <s v="Admitted"/>
        <s v="Not Admitted"/>
      </sharedItems>
    </cacheField>
    <cacheField name="[Calender_Table].[Date (Year)].[Date (Year)]" caption="Date (Year)" numFmtId="0" hierarchy="3" level="1">
      <sharedItems containsSemiMixedTypes="0" containsNonDate="0" containsString="0"/>
    </cacheField>
    <cacheField name="Unsupported0" numFmtId="0" hierarchy="35" level="32767">
      <extLst>
        <ext xmlns:x14="http://schemas.microsoft.com/office/spreadsheetml/2009/9/main" uri="{63CAB8AC-B538-458d-9737-405883B0398D}">
          <x14:cacheField ignore="1"/>
        </ext>
      </extLst>
    </cacheField>
  </cacheFields>
  <cacheHierarchies count="36">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20833334" createdVersion="5" refreshedVersion="8" minRefreshableVersion="3" recordCount="0" supportSubquery="1" supportAdvancedDrill="1" xr:uid="{55CBC546-2AC2-40CA-9E82-2B61B7F96B19}">
  <cacheSource type="external" connectionId="3"/>
  <cacheFields count="4">
    <cacheField name="[Calende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1"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21296296" createdVersion="5" refreshedVersion="8" minRefreshableVersion="3" recordCount="0" supportSubquery="1" supportAdvancedDrill="1" xr:uid="{A7757C49-26C5-4C08-AD5A-CCA8BFF76464}">
  <cacheSource type="external" connectionId="3"/>
  <cacheFields count="4">
    <cacheField name="[Calende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32"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21874997" createdVersion="5" refreshedVersion="8" minRefreshableVersion="3" recordCount="0" supportSubquery="1" supportAdvancedDrill="1" xr:uid="{9FFFA0E6-9663-4D83-9A25-0CF3A632195E}">
  <cacheSource type="external" connectionId="3"/>
  <cacheFields count="4">
    <cacheField name="[Calende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22569443" createdVersion="5" refreshedVersion="8" minRefreshableVersion="3" recordCount="0" supportSubquery="1" supportAdvancedDrill="1" xr:uid="{7E930EC8-6FE3-430C-99F5-AD6AC6D17160}">
  <cacheSource type="external" connectionId="3"/>
  <cacheFields count="4">
    <cacheField name="[Calende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846023032405" createdVersion="5" refreshedVersion="8" minRefreshableVersion="3" recordCount="0" supportSubquery="1" supportAdvancedDrill="1" xr:uid="{93205702-9609-4E11-9E5A-9458FF5C37BD}">
  <cacheSource type="external" connectionId="3"/>
  <cacheFields count="4">
    <cacheField name="[Calender_Table].[Date (Month)].[Date (Month)]" caption="Date (Month)" numFmtId="0" hierarchy="1" level="1">
      <sharedItems count="1">
        <s v="Jan"/>
      </sharedItems>
    </cacheField>
    <cacheField name="[Calender_Table].[Date].[Date]" caption="Date" numFmtId="0" level="1">
      <sharedItems containsSemiMixedTypes="0" containsNonDate="0" containsDate="1" containsString="0" minDate="2023-01-01T00:00:00" maxDate="2024-02-01T00:00:00" count="6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er_Table].[Date (Quarter)].[Date (Quarter)]" caption="Date (Quarter)" numFmtId="0" hierarchy="4" level="1">
      <sharedItems count="1">
        <s v="Qtr1"/>
      </sharedItems>
    </cacheField>
    <cacheField name="[Calender_Table].[Date (Year)].[Date (Year)]" caption="Date (Year)" numFmtId="0" hierarchy="3" level="1">
      <sharedItems count="1">
        <s v="2024"/>
      </sharedItems>
    </cacheField>
  </cacheFields>
  <cacheHierarchies count="35">
    <cacheHierarchy uniqueName="[Calender_Table].[Date]" caption="Date" attribute="1" time="1" defaultMemberUniqueName="[Calender_Table].[Date].[All]" allUniqueName="[Calender_Table].[Date].[All]" dimensionUniqueName="[Calender_Table]" displayFolder="" count="2" memberValueDatatype="7" unbalanced="0">
      <fieldsUsage count="2">
        <fieldUsage x="-1"/>
        <fieldUsage x="1"/>
      </fieldsUsage>
    </cacheHierarchy>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er_Table].[Date (Day Index)]" caption="Date (Day Index)" attribute="1" defaultMemberUniqueName="[Calender_Table].[Date (Day Index)].[All]" allUniqueName="[Calender_Table].[Date (Day Index)].[All]" dimensionUniqueName="[Calender_Table]" displayFolder="" count="2"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689076388888" createdVersion="3" refreshedVersion="8" minRefreshableVersion="3" recordCount="0" supportSubquery="1" supportAdvancedDrill="1" xr:uid="{79F118C0-F9F5-4D13-B6FF-9FF78F4697B6}">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489517107"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 Tejeendra" refreshedDate="46110.694681597219" createdVersion="3" refreshedVersion="8" minRefreshableVersion="3" recordCount="0" supportSubquery="1" supportAdvancedDrill="1" xr:uid="{19EC9556-5963-4319-879A-BA5DC1B61BBB}">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0"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9957020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9C4134-7C5B-4829-9173-37F0C17A9E83}" name="PivotTable12" cacheId="2696" applyNumberFormats="0" applyBorderFormats="0" applyFontFormats="0" applyPatternFormats="0" applyAlignmentFormats="0" applyWidthHeightFormats="1" dataCaption="Values" tag="487591e1-ae8a-4a3c-ac98-587b130b99ec" updatedVersion="8" minRefreshableVersion="3" itemPrintTitles="1" createdVersion="5" indent="0" outline="1" outlineData="1" multipleFieldFilters="0" chartFormat="22">
  <location ref="F57:F59" firstHeaderRow="1" firstDataRow="1" firstDataCol="1"/>
  <pivotFields count="4">
    <pivotField axis="axisRow" allDrilled="1" subtotalTop="0" showAll="0" dataSourceSort="1" defaultSubtotal="0">
      <items count="1">
        <item s="1" x="0" e="0"/>
      </items>
    </pivotField>
    <pivotField axis="axisRow" allDrilled="1" subtotalTop="0" showAll="0" dataSourceSort="1" defaultSubtotal="0" defaultAttributeDrillState="1">
      <items count="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1">
    <format dxfId="507">
      <pivotArea outline="0" collapsedLevelsAreSubtotals="1" fieldPosition="0"/>
    </format>
  </formats>
  <pivotHierarchies count="35">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DD216DB-843C-48BE-8BBB-BBF2FBFF7710}" name="PivotTable11" cacheId="2693" applyNumberFormats="0" applyBorderFormats="0" applyFontFormats="0" applyPatternFormats="0" applyAlignmentFormats="0" applyWidthHeightFormats="1" dataCaption="Values" tag="487591e1-ae8a-4a3c-ac98-587b130b99ec" updatedVersion="8" minRefreshableVersion="3" itemPrintTitles="1" createdVersion="5" indent="0" outline="1" outlineData="1" multipleFieldFilters="0" chartFormat="22">
  <location ref="B42:C51"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1"/>
    </i>
    <i>
      <x v="7"/>
    </i>
    <i>
      <x v="3"/>
    </i>
    <i>
      <x v="6"/>
    </i>
    <i>
      <x/>
    </i>
    <i>
      <x v="5"/>
    </i>
    <i>
      <x v="2"/>
    </i>
    <i>
      <x v="4"/>
    </i>
    <i t="grand">
      <x/>
    </i>
  </rowItems>
  <colItems count="1">
    <i/>
  </colItems>
  <dataFields count="1">
    <dataField name="Count of Department Referral" fld="2" subtotal="count" baseField="0" baseItem="0"/>
  </dataFields>
  <formats count="1">
    <format dxfId="508">
      <pivotArea outline="0" collapsedLevelsAreSubtotals="1" fieldPosition="0"/>
    </format>
  </formats>
  <chartFormats count="1">
    <chartFormat chart="21"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A1A01A-5544-4C1A-8AFE-EFF463C7DF0D}" name="PivotTable10" cacheId="2690" applyNumberFormats="0" applyBorderFormats="0" applyFontFormats="0" applyPatternFormats="0" applyAlignmentFormats="0" applyWidthHeightFormats="1" dataCaption="Values" tag="487591e1-ae8a-4a3c-ac98-587b130b99ec" updatedVersion="8" minRefreshableVersion="3" itemPrintTitles="1" createdVersion="5" indent="0" outline="1" outlineData="1" multipleFieldFilters="0" chartFormat="18">
  <location ref="I49:J52"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1">
    <format dxfId="509">
      <pivotArea outline="0" collapsedLevelsAreSubtotals="1" fieldPosition="0"/>
    </format>
  </formats>
  <chartFormats count="3">
    <chartFormat chart="17" format="4" series="1">
      <pivotArea type="data" outline="0" fieldPosition="0">
        <references count="1">
          <reference field="4294967294" count="1" selected="0">
            <x v="0"/>
          </reference>
        </references>
      </pivotArea>
    </chartFormat>
    <chartFormat chart="17" format="5">
      <pivotArea type="data" outline="0" fieldPosition="0">
        <references count="2">
          <reference field="4294967294" count="1" selected="0">
            <x v="0"/>
          </reference>
          <reference field="1" count="1" selected="0">
            <x v="0"/>
          </reference>
        </references>
      </pivotArea>
    </chartFormat>
    <chartFormat chart="17"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CC8783E-E436-4FE1-844B-B16F874A7441}" name="PivotTable9" cacheId="2687" applyNumberFormats="0" applyBorderFormats="0" applyFontFormats="0" applyPatternFormats="0" applyAlignmentFormats="0" applyWidthHeightFormats="1" dataCaption="Values" tag="487591e1-ae8a-4a3c-ac98-587b130b99ec" updatedVersion="8" minRefreshableVersion="3" itemPrintTitles="1" createdVersion="5" indent="0" outline="1" outlineData="1" multipleFieldFilters="0" chartFormat="14">
  <location ref="B54:C57"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1">
    <format dxfId="510">
      <pivotArea outline="0" collapsedLevelsAreSubtotals="1" fieldPosition="0"/>
    </format>
  </formats>
  <chartFormats count="3">
    <chartFormat chart="12" format="4" series="1">
      <pivotArea type="data" outline="0" fieldPosition="0">
        <references count="1">
          <reference field="4294967294" count="1" selected="0">
            <x v="0"/>
          </reference>
        </references>
      </pivotArea>
    </chartFormat>
    <chartFormat chart="12" format="5">
      <pivotArea type="data" outline="0" fieldPosition="0">
        <references count="2">
          <reference field="4294967294" count="1" selected="0">
            <x v="0"/>
          </reference>
          <reference field="1" count="1" selected="0">
            <x v="0"/>
          </reference>
        </references>
      </pivotArea>
    </chartFormat>
    <chartFormat chart="12"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F1D081-B5C1-444F-BD63-DD59E37E379C}" name="PivotTable1" cacheId="2666" applyNumberFormats="0" applyBorderFormats="0" applyFontFormats="0" applyPatternFormats="0" applyAlignmentFormats="0" applyWidthHeightFormats="1" dataCaption="Values" tag="d030032f-f194-4c01-906d-6d9cc7ad3afa" updatedVersion="8" minRefreshableVersion="3" itemPrintTitles="1" createdVersion="5" indent="0" outline="1" outlineData="1" multipleFieldFilters="0">
  <location ref="B4:B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B795DC-E9B6-4C14-BA90-3EAB033A026C}" name="PivotTable8" cacheId="2684" applyNumberFormats="0" applyBorderFormats="0" applyFontFormats="0" applyPatternFormats="0" applyAlignmentFormats="0" applyWidthHeightFormats="1" dataCaption="Values" tag="487591e1-ae8a-4a3c-ac98-587b130b99ec" updatedVersion="8" minRefreshableVersion="3" itemPrintTitles="1" createdVersion="5" indent="0" outline="1" outlineData="1" multipleFieldFilters="0" chartFormat="9">
  <location ref="B30:C39"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numFmtId="1"/>
  </dataFields>
  <formats count="1">
    <format dxfId="511">
      <pivotArea outline="0" collapsedLevelsAreSubtotals="1" fieldPosition="0"/>
    </format>
  </formats>
  <chartFormats count="4">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0D6C1A9-F109-4C83-B569-21D512874C71}" name="PivotTable2" cacheId="2669" applyNumberFormats="0" applyBorderFormats="0" applyFontFormats="0" applyPatternFormats="0" applyAlignmentFormats="0" applyWidthHeightFormats="1" dataCaption="Values" tag="b879ecb9-aa78-4599-be0e-8d480ea5f90a" updatedVersion="8" minRefreshableVersion="3" itemPrintTitles="1" createdVersion="5" indent="0" outline="1" outlineData="1" multipleFieldFilters="0">
  <location ref="B9:B10"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512">
      <pivotArea outline="0" collapsedLevelsAreSubtotals="1" fieldPosition="0"/>
    </format>
  </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F75D169-16D1-46D3-A6DD-630DCB3290C0}" name="PivotTable6" cacheId="2678" applyNumberFormats="0" applyBorderFormats="0" applyFontFormats="0" applyPatternFormats="0" applyAlignmentFormats="0" applyWidthHeightFormats="1" dataCaption="Values" tag="72bf70ec-9050-4bc7-a5ca-fd604cf258e8" updatedVersion="8" minRefreshableVersion="3" itemPrintTitles="1" createdVersion="5" indent="0" outline="1" outlineData="1" multipleFieldFilters="0" chartFormat="30">
  <location ref="M5:N37"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Satisfaction Score" fld="2" subtotal="average" baseField="0" baseItem="0"/>
  </dataFields>
  <formats count="1">
    <format dxfId="513">
      <pivotArea collapsedLevelsAreSubtotals="1" fieldPosition="0">
        <references count="1">
          <reference field="0" count="0"/>
        </references>
      </pivotArea>
    </format>
  </formats>
  <chartFormats count="2">
    <chartFormat chart="23" format="2" series="1">
      <pivotArea type="data" outline="0" fieldPosition="0">
        <references count="1">
          <reference field="4294967294" count="1" selected="0">
            <x v="0"/>
          </reference>
        </references>
      </pivotArea>
    </chartFormat>
    <chartFormat chart="28" format="7"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A3744F1-BD03-4496-B0CA-7F6BF299A32A}" name="PivotTable5" cacheId="2675" applyNumberFormats="0" applyBorderFormats="0" applyFontFormats="0" applyPatternFormats="0" applyAlignmentFormats="0" applyWidthHeightFormats="1" dataCaption="Values" tag="68971a45-bf67-43a1-928a-398ea39eff40" updatedVersion="8" minRefreshableVersion="3" itemPrintTitles="1" createdVersion="5" indent="0" outline="1" outlineData="1" multipleFieldFilters="0" chartFormat="23">
  <location ref="J5:K37"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Waittime" fld="2" subtotal="average" baseField="0" baseItem="0"/>
  </dataFields>
  <formats count="1">
    <format dxfId="514">
      <pivotArea collapsedLevelsAreSubtotals="1" fieldPosition="0">
        <references count="1">
          <reference field="0" count="0"/>
        </references>
      </pivotArea>
    </format>
  </formats>
  <chartFormats count="2">
    <chartFormat chart="12" format="2"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DD8B5D9-40AA-4966-811A-6B2943BDF3CF}" name="PivotTable4" cacheId="2663" applyNumberFormats="0" applyBorderFormats="0" applyFontFormats="0" applyPatternFormats="0" applyAlignmentFormats="0" applyWidthHeightFormats="1" dataCaption="Values" tag="4b7ac8a6-9879-4596-b2fa-e74a6feaa2c1" updatedVersion="8" minRefreshableVersion="3" itemPrintTitles="1" createdVersion="5" indent="0" outline="1" outlineData="1" multipleFieldFilters="0" chartFormat="9">
  <location ref="G5:H37" firstHeaderRow="1" firstDataRow="1" firstDataCol="1"/>
  <pivotFields count="4">
    <pivotField dataField="1" subtotalTop="0" showAll="0" defaultSubtotal="0"/>
    <pivotField axis="axisRow" allDrilled="1" subtotalTop="0" showAll="0"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2">
    <chartFormat chart="2" format="2"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1B2EDF-3B9F-4082-B47D-DEFC33FD3C97}" name="PivotTable7" cacheId="2681" applyNumberFormats="0" applyBorderFormats="0" applyFontFormats="0" applyPatternFormats="0" applyAlignmentFormats="0" applyWidthHeightFormats="1" dataCaption="Values" tag="fe475295-93cc-42b9-a68f-e91479685e64" updatedVersion="8" minRefreshableVersion="3" itemPrintTitles="1" createdVersion="5" indent="0" outline="1" outlineData="1" multipleFieldFilters="0" chartFormat="3">
  <location ref="B18:D21"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3">
    <format dxfId="517">
      <pivotArea outline="0" collapsedLevelsAreSubtotals="1" fieldPosition="0"/>
    </format>
    <format dxfId="516">
      <pivotArea collapsedLevelsAreSubtotals="1" fieldPosition="0">
        <references count="1">
          <reference field="2" count="0"/>
        </references>
      </pivotArea>
    </format>
    <format dxfId="515">
      <pivotArea outline="0" fieldPosition="0">
        <references count="1">
          <reference field="4294967294" count="1">
            <x v="1"/>
          </reference>
        </references>
      </pivotArea>
    </format>
  </format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0"/>
          </reference>
          <reference field="2" count="1" selected="0">
            <x v="0"/>
          </reference>
        </references>
      </pivotArea>
    </chartFormat>
    <chartFormat chart="1" format="3">
      <pivotArea type="data" outline="0" fieldPosition="0">
        <references count="2">
          <reference field="4294967294" count="1" selected="0">
            <x v="0"/>
          </reference>
          <reference field="2" count="1" selected="0">
            <x v="1"/>
          </reference>
        </references>
      </pivotArea>
    </chartFormat>
  </chartFormats>
  <pivotHierarchies count="36">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6FB1808-D5AF-4082-A2BA-33F445FB1E9F}" name="PivotTable3" cacheId="2672" applyNumberFormats="0" applyBorderFormats="0" applyFontFormats="0" applyPatternFormats="0" applyAlignmentFormats="0" applyWidthHeightFormats="1" dataCaption="Values" tag="70c2ffff-fedc-496e-8a21-6b1feb53943e" updatedVersion="8" minRefreshableVersion="3" itemPrintTitles="1" createdVersion="5" indent="0" outline="1" outlineData="1" multipleFieldFilters="0">
  <location ref="B14:B1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518">
      <pivotArea outline="0" collapsedLevelsAreSubtotals="1" fieldPosition="0"/>
    </format>
  </formats>
  <pivotHierarchies count="35">
    <pivotHierarchy dragToData="1"/>
    <pivotHierarchy multipleItemSelectionAllowed="1" dragToData="1">
      <members count="1" level="1">
        <member name="[Calender_Table].[Date (Month)].&amp;[Ja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4AAE0496-95E3-43F9-BA24-34836DD687D1}" sourceName="[Calende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0"/>
    <pivotTable tabId="1" name="PivotTable11"/>
    <pivotTable tabId="1" name="PivotTable12"/>
  </pivotTables>
  <data>
    <olap pivotCacheId="1489517107">
      <levels count="2">
        <level uniqueName="[Calender_Table].[Date (Month)].[(All)]" sourceCaption="(All)" count="0"/>
        <level uniqueName="[Calender_Table].[Date (Month)].[Date (Month)]" sourceCaption="Date (Month)" count="12">
          <ranges>
            <range startItem="0">
              <i n="[Calender_Table].[Date (Month)].&amp;[Jan]" c="Jan"/>
              <i n="[Calender_Table].[Date (Month)].&amp;[Feb]" c="Feb"/>
              <i n="[Calender_Table].[Date (Month)].&amp;[Mar]" c="Mar"/>
              <i n="[Calender_Table].[Date (Month)].&amp;[Apr]" c="Apr"/>
              <i n="[Calender_Table].[Date (Month)].&amp;[May]" c="May"/>
              <i n="[Calender_Table].[Date (Month)].&amp;[Jun]" c="Jun"/>
              <i n="[Calender_Table].[Date (Month)].&amp;[Jul]" c="Jul"/>
              <i n="[Calender_Table].[Date (Month)].&amp;[Aug]" c="Aug"/>
              <i n="[Calender_Table].[Date (Month)].&amp;[Sep]" c="Sep"/>
              <i n="[Calender_Table].[Date (Month)].&amp;[Oct]" c="Oct"/>
              <i n="[Calender_Table].[Date (Month)].&amp;[Nov]" c="Nov"/>
              <i n="[Calender_Table].[Date (Month)].&amp;[Dec]" c="Dec"/>
            </range>
          </ranges>
        </level>
      </levels>
      <selections count="1">
        <selection n="[Calender_Table].[Date (Month)].&amp;[Ja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FD6A713D-13FF-4DB0-969B-FE11EA43D397}" sourceName="[Calender_Table].[Date (Year)]">
  <pivotTables>
    <pivotTable tabId="1" name="PivotTable12"/>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99570207">
      <levels count="2">
        <level uniqueName="[Calender_Table].[Date (Year)].[(All)]" sourceCaption="(All)" count="0"/>
        <level uniqueName="[Calender_Table].[Date (Year)].[Date (Year)]" sourceCaption="Date (Year)" count="2">
          <ranges>
            <range startItem="0">
              <i n="[Calender_Table].[Date (Year)].&amp;[2023]" c="2023"/>
              <i n="[Calender_Table].[Date (Year)].&amp;[2024]" c="2024"/>
            </range>
          </ranges>
        </level>
      </levels>
      <selections count="1">
        <selection n="[Calender_Table].[Date (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1" xr10:uid="{2D5EB03B-0E28-4291-8EB3-940745A9D066}" cache="Slicer_Date__Month" caption="Date (Month)" showCaption="0" level="1" style="My Slicer" rowHeight="144000"/>
  <slicer name="Date (Year)" xr10:uid="{F58526C6-66A7-46D4-877F-DC28DBCA0308}" cache="Slicer_Date__Year" caption="Date (Year)" showCaption="0" level="1" style="My Slicer" rowHeight="14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6.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979705-A842-4E00-9F68-46EC023D214E}">
  <dimension ref="A1:M16"/>
  <sheetViews>
    <sheetView tabSelected="1" zoomScale="162" workbookViewId="0"/>
  </sheetViews>
  <sheetFormatPr defaultRowHeight="14.4" x14ac:dyDescent="0.3"/>
  <sheetData>
    <row r="1" spans="1:13" x14ac:dyDescent="0.3">
      <c r="A1" s="3"/>
      <c r="B1" s="3"/>
      <c r="C1" s="3"/>
      <c r="D1" s="3"/>
      <c r="E1" s="3"/>
      <c r="F1" s="3"/>
      <c r="G1" s="3"/>
      <c r="H1" s="3"/>
      <c r="I1" s="3"/>
      <c r="J1" s="3"/>
      <c r="K1" s="3"/>
      <c r="L1" s="3"/>
      <c r="M1" s="15"/>
    </row>
    <row r="2" spans="1:13" x14ac:dyDescent="0.3">
      <c r="A2" s="3"/>
      <c r="B2" s="3"/>
      <c r="C2" s="3"/>
      <c r="D2" s="3"/>
      <c r="E2" s="3"/>
      <c r="F2" s="3"/>
      <c r="G2" s="3"/>
      <c r="H2" s="3"/>
      <c r="I2" s="3"/>
      <c r="J2" s="3"/>
      <c r="K2" s="3"/>
      <c r="L2" s="3"/>
      <c r="M2" s="15"/>
    </row>
    <row r="3" spans="1:13" x14ac:dyDescent="0.3">
      <c r="A3" s="3"/>
      <c r="B3" s="3"/>
      <c r="C3" s="3"/>
      <c r="D3" s="3"/>
      <c r="E3" s="3"/>
      <c r="F3" s="3"/>
      <c r="G3" s="3"/>
      <c r="H3" s="3"/>
      <c r="I3" s="3"/>
      <c r="J3" s="3"/>
      <c r="K3" s="3"/>
      <c r="L3" s="3"/>
      <c r="M3" s="15"/>
    </row>
    <row r="4" spans="1:13" x14ac:dyDescent="0.3">
      <c r="A4" s="3"/>
      <c r="B4" s="3"/>
      <c r="C4" s="3"/>
      <c r="D4" s="3"/>
      <c r="E4" s="3"/>
      <c r="F4" s="3"/>
      <c r="G4" s="3"/>
      <c r="H4" s="3"/>
      <c r="I4" s="3"/>
      <c r="J4" s="3"/>
      <c r="K4" s="3"/>
      <c r="L4" s="3"/>
      <c r="M4" s="15"/>
    </row>
    <row r="5" spans="1:13" x14ac:dyDescent="0.3">
      <c r="A5" s="3"/>
      <c r="B5" s="3"/>
      <c r="C5" s="3"/>
      <c r="D5" s="3"/>
      <c r="E5" s="3"/>
      <c r="F5" s="3"/>
      <c r="G5" s="3"/>
      <c r="H5" s="3"/>
      <c r="I5" s="3"/>
      <c r="J5" s="3"/>
      <c r="K5" s="3"/>
      <c r="L5" s="3"/>
      <c r="M5" s="15"/>
    </row>
    <row r="6" spans="1:13" x14ac:dyDescent="0.3">
      <c r="A6" s="3"/>
      <c r="B6" s="3"/>
      <c r="C6" s="3"/>
      <c r="D6" s="3"/>
      <c r="E6" s="3"/>
      <c r="F6" s="3"/>
      <c r="G6" s="3"/>
      <c r="H6" s="3"/>
      <c r="I6" s="3"/>
      <c r="J6" s="3"/>
      <c r="K6" s="3"/>
      <c r="L6" s="3"/>
      <c r="M6" s="15"/>
    </row>
    <row r="7" spans="1:13" x14ac:dyDescent="0.3">
      <c r="A7" s="3"/>
      <c r="B7" s="3"/>
      <c r="C7" s="3"/>
      <c r="D7" s="3"/>
      <c r="E7" s="3"/>
      <c r="F7" s="3"/>
      <c r="G7" s="3"/>
      <c r="H7" s="3"/>
      <c r="I7" s="3"/>
      <c r="J7" s="3"/>
      <c r="K7" s="3"/>
      <c r="L7" s="3"/>
      <c r="M7" s="15"/>
    </row>
    <row r="8" spans="1:13" x14ac:dyDescent="0.3">
      <c r="A8" s="3"/>
      <c r="B8" s="3"/>
      <c r="C8" s="3"/>
      <c r="D8" s="3"/>
      <c r="E8" s="3"/>
      <c r="F8" s="3"/>
      <c r="G8" s="3"/>
      <c r="H8" s="3"/>
      <c r="I8" s="3"/>
      <c r="J8" s="3"/>
      <c r="K8" s="3"/>
      <c r="L8" s="3"/>
      <c r="M8" s="15"/>
    </row>
    <row r="9" spans="1:13" x14ac:dyDescent="0.3">
      <c r="A9" s="3"/>
      <c r="B9" s="3"/>
      <c r="C9" s="3"/>
      <c r="D9" s="3"/>
      <c r="E9" s="3"/>
      <c r="F9" s="3"/>
      <c r="G9" s="3"/>
      <c r="H9" s="3"/>
      <c r="I9" s="3"/>
      <c r="J9" s="3"/>
      <c r="K9" s="3"/>
      <c r="L9" s="3"/>
      <c r="M9" s="15"/>
    </row>
    <row r="10" spans="1:13" x14ac:dyDescent="0.3">
      <c r="A10" s="3"/>
      <c r="B10" s="3"/>
      <c r="C10" s="3"/>
      <c r="D10" s="3"/>
      <c r="E10" s="3"/>
      <c r="F10" s="3"/>
      <c r="G10" s="3"/>
      <c r="H10" s="3"/>
      <c r="I10" s="3"/>
      <c r="J10" s="3"/>
      <c r="K10" s="3"/>
      <c r="L10" s="3"/>
      <c r="M10" s="15"/>
    </row>
    <row r="11" spans="1:13" x14ac:dyDescent="0.3">
      <c r="A11" s="3"/>
      <c r="B11" s="3"/>
      <c r="C11" s="3"/>
      <c r="D11" s="3"/>
      <c r="E11" s="3"/>
      <c r="F11" s="3"/>
      <c r="G11" s="3"/>
      <c r="H11" s="3"/>
      <c r="I11" s="3"/>
      <c r="J11" s="3"/>
      <c r="K11" s="3"/>
      <c r="L11" s="3"/>
      <c r="M11" s="15"/>
    </row>
    <row r="12" spans="1:13" x14ac:dyDescent="0.3">
      <c r="A12" s="3"/>
      <c r="B12" s="3"/>
      <c r="C12" s="3"/>
      <c r="D12" s="3"/>
      <c r="E12" s="3"/>
      <c r="F12" s="3"/>
      <c r="G12" s="3"/>
      <c r="H12" s="3"/>
      <c r="I12" s="3"/>
      <c r="J12" s="3"/>
      <c r="K12" s="3"/>
      <c r="L12" s="3"/>
      <c r="M12" s="15"/>
    </row>
    <row r="13" spans="1:13" x14ac:dyDescent="0.3">
      <c r="A13" s="3"/>
      <c r="B13" s="3"/>
      <c r="C13" s="3"/>
      <c r="D13" s="3"/>
      <c r="E13" s="3"/>
      <c r="F13" s="3"/>
      <c r="G13" s="3"/>
      <c r="H13" s="3"/>
      <c r="I13" s="3"/>
      <c r="J13" s="3"/>
      <c r="K13" s="3"/>
      <c r="L13" s="3"/>
      <c r="M13" s="15"/>
    </row>
    <row r="14" spans="1:13" x14ac:dyDescent="0.3">
      <c r="A14" s="3"/>
      <c r="B14" s="3"/>
      <c r="C14" s="3"/>
      <c r="D14" s="3"/>
      <c r="E14" s="3"/>
      <c r="F14" s="3"/>
      <c r="G14" s="3"/>
      <c r="H14" s="3"/>
      <c r="I14" s="3"/>
      <c r="J14" s="3"/>
      <c r="K14" s="3"/>
      <c r="L14" s="3"/>
      <c r="M14" s="15"/>
    </row>
    <row r="15" spans="1:13" x14ac:dyDescent="0.3">
      <c r="A15" s="3"/>
      <c r="B15" s="3"/>
      <c r="C15" s="3"/>
      <c r="D15" s="3"/>
      <c r="E15" s="3"/>
      <c r="F15" s="3"/>
      <c r="G15" s="3"/>
      <c r="H15" s="3"/>
      <c r="I15" s="3"/>
      <c r="J15" s="3"/>
      <c r="K15" s="3"/>
      <c r="L15" s="3"/>
      <c r="M15" s="15"/>
    </row>
    <row r="16" spans="1:13" x14ac:dyDescent="0.3">
      <c r="A16" s="3"/>
      <c r="B16" s="3"/>
      <c r="C16" s="3"/>
      <c r="D16" s="3"/>
      <c r="E16" s="3"/>
      <c r="F16" s="3"/>
      <c r="G16" s="3"/>
      <c r="H16" s="3"/>
      <c r="I16" s="3"/>
      <c r="J16" s="3"/>
      <c r="K16" s="3"/>
      <c r="L16" s="3"/>
      <c r="M16" s="15"/>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69083-5051-4533-A6DA-3023E089E706}">
  <dimension ref="A1:N20"/>
  <sheetViews>
    <sheetView zoomScale="131" workbookViewId="0"/>
  </sheetViews>
  <sheetFormatPr defaultRowHeight="14.4" x14ac:dyDescent="0.3"/>
  <sheetData>
    <row r="1" spans="1:14" x14ac:dyDescent="0.3">
      <c r="A1" s="5"/>
      <c r="B1" s="5"/>
      <c r="C1" s="5"/>
      <c r="D1" s="5"/>
      <c r="E1" s="5"/>
      <c r="F1" s="5"/>
      <c r="G1" s="5"/>
      <c r="H1" s="5"/>
      <c r="I1" s="5"/>
      <c r="J1" s="5"/>
      <c r="K1" s="5"/>
      <c r="L1" s="5"/>
      <c r="M1" s="5"/>
      <c r="N1" s="6"/>
    </row>
    <row r="2" spans="1:14" x14ac:dyDescent="0.3">
      <c r="A2" s="5"/>
      <c r="B2" s="5"/>
      <c r="C2" s="5"/>
      <c r="D2" s="5"/>
      <c r="E2" s="5"/>
      <c r="F2" s="5"/>
      <c r="G2" s="5"/>
      <c r="H2" s="5"/>
      <c r="I2" s="5"/>
      <c r="J2" s="5"/>
      <c r="K2" s="5"/>
      <c r="L2" s="5"/>
      <c r="M2" s="5"/>
      <c r="N2" s="6"/>
    </row>
    <row r="3" spans="1:14" x14ac:dyDescent="0.3">
      <c r="A3" s="5"/>
      <c r="B3" s="5"/>
      <c r="C3" s="5"/>
      <c r="D3" s="5"/>
      <c r="E3" s="5"/>
      <c r="F3" s="5"/>
      <c r="G3" s="5"/>
      <c r="H3" s="5"/>
      <c r="I3" s="5"/>
      <c r="J3" s="5"/>
      <c r="K3" s="5"/>
      <c r="L3" s="5"/>
      <c r="M3" s="5"/>
      <c r="N3" s="6"/>
    </row>
    <row r="4" spans="1:14" x14ac:dyDescent="0.3">
      <c r="A4" s="5"/>
      <c r="B4" s="5"/>
      <c r="C4" s="5"/>
      <c r="D4" s="5"/>
      <c r="E4" s="5"/>
      <c r="F4" s="5"/>
      <c r="G4" s="5"/>
      <c r="H4" s="5"/>
      <c r="I4" s="5"/>
      <c r="J4" s="5"/>
      <c r="K4" s="5"/>
      <c r="L4" s="5"/>
      <c r="M4" s="5"/>
      <c r="N4" s="6"/>
    </row>
    <row r="5" spans="1:14" x14ac:dyDescent="0.3">
      <c r="A5" s="5"/>
      <c r="B5" s="5"/>
      <c r="C5" s="5"/>
      <c r="D5" s="5"/>
      <c r="E5" s="5"/>
      <c r="F5" s="5"/>
      <c r="G5" s="5"/>
      <c r="H5" s="5"/>
      <c r="I5" s="5"/>
      <c r="J5" s="5"/>
      <c r="K5" s="5"/>
      <c r="L5" s="5"/>
      <c r="M5" s="5"/>
      <c r="N5" s="6"/>
    </row>
    <row r="6" spans="1:14" x14ac:dyDescent="0.3">
      <c r="A6" s="5"/>
      <c r="B6" s="5"/>
      <c r="C6" s="5"/>
      <c r="D6" s="5"/>
      <c r="E6" s="5"/>
      <c r="F6" s="5"/>
      <c r="G6" s="5"/>
      <c r="H6" s="5"/>
      <c r="I6" s="5"/>
      <c r="J6" s="5"/>
      <c r="K6" s="5"/>
      <c r="L6" s="5"/>
      <c r="M6" s="5"/>
      <c r="N6" s="6"/>
    </row>
    <row r="7" spans="1:14" x14ac:dyDescent="0.3">
      <c r="A7" s="5"/>
      <c r="B7" s="5"/>
      <c r="C7" s="5"/>
      <c r="D7" s="5"/>
      <c r="E7" s="5"/>
      <c r="F7" s="5"/>
      <c r="G7" s="5"/>
      <c r="H7" s="5"/>
      <c r="I7" s="5"/>
      <c r="J7" s="5"/>
      <c r="K7" s="5"/>
      <c r="L7" s="5"/>
      <c r="M7" s="5"/>
      <c r="N7" s="6"/>
    </row>
    <row r="8" spans="1:14" x14ac:dyDescent="0.3">
      <c r="A8" s="5"/>
      <c r="B8" s="5"/>
      <c r="C8" s="5"/>
      <c r="D8" s="5"/>
      <c r="E8" s="5"/>
      <c r="F8" s="5"/>
      <c r="G8" s="5"/>
      <c r="H8" s="5"/>
      <c r="I8" s="5"/>
      <c r="J8" s="5"/>
      <c r="K8" s="5"/>
      <c r="L8" s="5"/>
      <c r="M8" s="5"/>
      <c r="N8" s="6"/>
    </row>
    <row r="9" spans="1:14" x14ac:dyDescent="0.3">
      <c r="A9" s="5"/>
      <c r="B9" s="5"/>
      <c r="C9" s="5"/>
      <c r="D9" s="5"/>
      <c r="E9" s="5"/>
      <c r="F9" s="5"/>
      <c r="G9" s="5"/>
      <c r="H9" s="5"/>
      <c r="I9" s="5"/>
      <c r="J9" s="5"/>
      <c r="K9" s="5"/>
      <c r="L9" s="5"/>
      <c r="M9" s="5"/>
      <c r="N9" s="6"/>
    </row>
    <row r="10" spans="1:14" x14ac:dyDescent="0.3">
      <c r="A10" s="5"/>
      <c r="B10" s="5"/>
      <c r="C10" s="5"/>
      <c r="D10" s="5"/>
      <c r="E10" s="5"/>
      <c r="F10" s="5"/>
      <c r="G10" s="5"/>
      <c r="H10" s="5"/>
      <c r="I10" s="5"/>
      <c r="J10" s="5"/>
      <c r="K10" s="5"/>
      <c r="L10" s="5"/>
      <c r="M10" s="5"/>
      <c r="N10" s="6"/>
    </row>
    <row r="11" spans="1:14" x14ac:dyDescent="0.3">
      <c r="A11" s="5"/>
      <c r="B11" s="5"/>
      <c r="C11" s="5"/>
      <c r="D11" s="5"/>
      <c r="E11" s="5"/>
      <c r="F11" s="5"/>
      <c r="G11" s="5"/>
      <c r="H11" s="5"/>
      <c r="I11" s="5"/>
      <c r="J11" s="5"/>
      <c r="K11" s="5"/>
      <c r="L11" s="5"/>
      <c r="M11" s="5"/>
      <c r="N11" s="6"/>
    </row>
    <row r="12" spans="1:14" x14ac:dyDescent="0.3">
      <c r="A12" s="5"/>
      <c r="B12" s="5"/>
      <c r="C12" s="5"/>
      <c r="D12" s="5"/>
      <c r="E12" s="5"/>
      <c r="F12" s="5"/>
      <c r="G12" s="5"/>
      <c r="H12" s="5"/>
      <c r="I12" s="5"/>
      <c r="J12" s="5"/>
      <c r="K12" s="5"/>
      <c r="L12" s="5"/>
      <c r="M12" s="5"/>
      <c r="N12" s="6"/>
    </row>
    <row r="13" spans="1:14" x14ac:dyDescent="0.3">
      <c r="A13" s="5"/>
      <c r="B13" s="5"/>
      <c r="C13" s="5"/>
      <c r="D13" s="5"/>
      <c r="E13" s="5"/>
      <c r="F13" s="5"/>
      <c r="G13" s="5"/>
      <c r="H13" s="5"/>
      <c r="I13" s="5"/>
      <c r="J13" s="5"/>
      <c r="K13" s="5"/>
      <c r="L13" s="5"/>
      <c r="M13" s="5"/>
      <c r="N13" s="6"/>
    </row>
    <row r="14" spans="1:14" x14ac:dyDescent="0.3">
      <c r="A14" s="5"/>
      <c r="B14" s="5"/>
      <c r="C14" s="5"/>
      <c r="D14" s="5"/>
      <c r="E14" s="5"/>
      <c r="F14" s="5"/>
      <c r="G14" s="5"/>
      <c r="H14" s="5"/>
      <c r="I14" s="5"/>
      <c r="J14" s="5"/>
      <c r="K14" s="5"/>
      <c r="L14" s="5"/>
      <c r="M14" s="5"/>
      <c r="N14" s="6"/>
    </row>
    <row r="15" spans="1:14" x14ac:dyDescent="0.3">
      <c r="A15" s="5"/>
      <c r="B15" s="5"/>
      <c r="C15" s="5"/>
      <c r="D15" s="5"/>
      <c r="E15" s="5"/>
      <c r="F15" s="5"/>
      <c r="G15" s="5"/>
      <c r="H15" s="5"/>
      <c r="I15" s="5"/>
      <c r="J15" s="5"/>
      <c r="K15" s="5"/>
      <c r="L15" s="5"/>
      <c r="M15" s="5"/>
      <c r="N15" s="6"/>
    </row>
    <row r="16" spans="1:14" x14ac:dyDescent="0.3">
      <c r="A16" s="5"/>
      <c r="B16" s="5"/>
      <c r="C16" s="5"/>
      <c r="D16" s="5"/>
      <c r="E16" s="5"/>
      <c r="F16" s="5"/>
      <c r="G16" s="5"/>
      <c r="H16" s="5"/>
      <c r="I16" s="5"/>
      <c r="J16" s="5"/>
      <c r="K16" s="5"/>
      <c r="L16" s="5"/>
      <c r="M16" s="5"/>
      <c r="N16" s="6"/>
    </row>
    <row r="17" spans="1:14" x14ac:dyDescent="0.3">
      <c r="A17" s="6"/>
      <c r="B17" s="6"/>
      <c r="C17" s="6"/>
      <c r="D17" s="6"/>
      <c r="E17" s="6"/>
      <c r="F17" s="6"/>
      <c r="G17" s="6"/>
      <c r="H17" s="6"/>
      <c r="I17" s="6"/>
      <c r="J17" s="6"/>
      <c r="K17" s="6"/>
      <c r="L17" s="6"/>
      <c r="M17" s="6"/>
      <c r="N17" s="6"/>
    </row>
    <row r="18" spans="1:14" x14ac:dyDescent="0.3">
      <c r="A18" s="6"/>
      <c r="B18" s="6"/>
      <c r="C18" s="6"/>
      <c r="D18" s="6"/>
      <c r="E18" s="6"/>
      <c r="F18" s="6"/>
      <c r="G18" s="6"/>
      <c r="H18" s="6"/>
      <c r="I18" s="6"/>
      <c r="J18" s="6"/>
      <c r="K18" s="6"/>
      <c r="L18" s="6"/>
      <c r="M18" s="6"/>
      <c r="N18" s="6"/>
    </row>
    <row r="19" spans="1:14" x14ac:dyDescent="0.3">
      <c r="A19" s="6"/>
      <c r="B19" s="6"/>
      <c r="C19" s="6"/>
      <c r="D19" s="6"/>
      <c r="E19" s="6"/>
      <c r="F19" s="6"/>
      <c r="G19" s="6"/>
      <c r="H19" s="6"/>
      <c r="I19" s="6"/>
      <c r="J19" s="6"/>
      <c r="K19" s="6"/>
      <c r="L19" s="6"/>
      <c r="M19" s="6"/>
      <c r="N19" s="6"/>
    </row>
    <row r="20" spans="1:14" x14ac:dyDescent="0.3">
      <c r="A20" s="6"/>
      <c r="B20" s="6"/>
      <c r="C20" s="6"/>
      <c r="D20" s="6"/>
      <c r="E20" s="6"/>
      <c r="F20" s="6"/>
      <c r="G20" s="6"/>
      <c r="H20" s="6"/>
      <c r="I20" s="6"/>
      <c r="J20" s="6"/>
      <c r="K20" s="6"/>
      <c r="L20" s="6"/>
      <c r="M20" s="6"/>
      <c r="N20" s="6"/>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A8FB6-7E00-4388-B534-CD4FD0652959}">
  <dimension ref="A1:N20"/>
  <sheetViews>
    <sheetView zoomScale="141" workbookViewId="0"/>
  </sheetViews>
  <sheetFormatPr defaultRowHeight="14.4" x14ac:dyDescent="0.3"/>
  <sheetData>
    <row r="1" spans="1:14" x14ac:dyDescent="0.3">
      <c r="A1" s="3"/>
      <c r="B1" s="3"/>
      <c r="C1" s="3"/>
      <c r="D1" s="3"/>
      <c r="E1" s="3"/>
      <c r="F1" s="3"/>
      <c r="G1" s="3"/>
      <c r="H1" s="3"/>
      <c r="I1" s="3"/>
      <c r="J1" s="3"/>
      <c r="K1" s="3"/>
      <c r="L1" s="3"/>
      <c r="M1" s="3"/>
      <c r="N1" s="3"/>
    </row>
    <row r="2" spans="1:14" x14ac:dyDescent="0.3">
      <c r="A2" s="3"/>
      <c r="B2" s="3"/>
      <c r="C2" s="3"/>
      <c r="D2" s="3"/>
      <c r="E2" s="3"/>
      <c r="F2" s="3"/>
      <c r="G2" s="3"/>
      <c r="H2" s="3"/>
      <c r="I2" s="3"/>
      <c r="J2" s="3"/>
      <c r="K2" s="3"/>
      <c r="L2" s="3"/>
      <c r="M2" s="3"/>
      <c r="N2" s="3"/>
    </row>
    <row r="3" spans="1:14" x14ac:dyDescent="0.3">
      <c r="A3" s="3"/>
      <c r="B3" s="3"/>
      <c r="C3" s="3"/>
      <c r="D3" s="3"/>
      <c r="E3" s="3"/>
      <c r="F3" s="3"/>
      <c r="G3" s="3"/>
      <c r="H3" s="3"/>
      <c r="I3" s="3"/>
      <c r="J3" s="3"/>
      <c r="K3" s="3"/>
      <c r="L3" s="3"/>
      <c r="M3" s="3"/>
      <c r="N3" s="3"/>
    </row>
    <row r="4" spans="1:14" x14ac:dyDescent="0.3">
      <c r="A4" s="3"/>
      <c r="B4" s="3"/>
      <c r="C4" s="3"/>
      <c r="D4" s="3"/>
      <c r="E4" s="3"/>
      <c r="F4" s="3"/>
      <c r="G4" s="3"/>
      <c r="H4" s="3"/>
      <c r="I4" s="3"/>
      <c r="J4" s="3"/>
      <c r="K4" s="3"/>
      <c r="L4" s="3"/>
      <c r="M4" s="3"/>
      <c r="N4" s="3"/>
    </row>
    <row r="5" spans="1:14" x14ac:dyDescent="0.3">
      <c r="A5" s="3"/>
      <c r="B5" s="3"/>
      <c r="C5" s="3"/>
      <c r="D5" s="3"/>
      <c r="E5" s="3"/>
      <c r="F5" s="3"/>
      <c r="G5" s="3"/>
      <c r="H5" s="3"/>
      <c r="I5" s="3"/>
      <c r="J5" s="3"/>
      <c r="K5" s="3"/>
      <c r="L5" s="3"/>
      <c r="M5" s="3"/>
      <c r="N5" s="3"/>
    </row>
    <row r="6" spans="1:14" x14ac:dyDescent="0.3">
      <c r="A6" s="3"/>
      <c r="B6" s="3"/>
      <c r="C6" s="3"/>
      <c r="D6" s="3"/>
      <c r="E6" s="3"/>
      <c r="F6" s="3"/>
      <c r="G6" s="3"/>
      <c r="H6" s="3"/>
      <c r="I6" s="3"/>
      <c r="J6" s="3"/>
      <c r="K6" s="3"/>
      <c r="L6" s="3"/>
      <c r="M6" s="3"/>
      <c r="N6" s="3"/>
    </row>
    <row r="7" spans="1:14" x14ac:dyDescent="0.3">
      <c r="A7" s="3"/>
      <c r="B7" s="3"/>
      <c r="C7" s="3"/>
      <c r="D7" s="3"/>
      <c r="E7" s="3"/>
      <c r="F7" s="3"/>
      <c r="G7" s="3"/>
      <c r="H7" s="3"/>
      <c r="I7" s="3"/>
      <c r="J7" s="3"/>
      <c r="K7" s="3"/>
      <c r="L7" s="3"/>
      <c r="M7" s="3"/>
      <c r="N7" s="3"/>
    </row>
    <row r="8" spans="1:14" x14ac:dyDescent="0.3">
      <c r="A8" s="3"/>
      <c r="B8" s="3"/>
      <c r="C8" s="3"/>
      <c r="D8" s="3"/>
      <c r="E8" s="3"/>
      <c r="F8" s="3"/>
      <c r="G8" s="3"/>
      <c r="H8" s="3"/>
      <c r="I8" s="3"/>
      <c r="J8" s="3"/>
      <c r="K8" s="3"/>
      <c r="L8" s="3"/>
      <c r="M8" s="3"/>
      <c r="N8" s="3"/>
    </row>
    <row r="9" spans="1:14" x14ac:dyDescent="0.3">
      <c r="A9" s="3"/>
      <c r="B9" s="3"/>
      <c r="C9" s="3"/>
      <c r="D9" s="3"/>
      <c r="E9" s="3"/>
      <c r="F9" s="3"/>
      <c r="G9" s="3"/>
      <c r="H9" s="3"/>
      <c r="I9" s="3"/>
      <c r="J9" s="3"/>
      <c r="K9" s="3"/>
      <c r="L9" s="3"/>
      <c r="M9" s="3"/>
      <c r="N9" s="3"/>
    </row>
    <row r="10" spans="1:14" x14ac:dyDescent="0.3">
      <c r="A10" s="3"/>
      <c r="B10" s="3"/>
      <c r="C10" s="3"/>
      <c r="D10" s="3"/>
      <c r="E10" s="3"/>
      <c r="F10" s="3"/>
      <c r="G10" s="3"/>
      <c r="H10" s="3"/>
      <c r="I10" s="3"/>
      <c r="J10" s="3"/>
      <c r="K10" s="3"/>
      <c r="L10" s="3"/>
      <c r="M10" s="3"/>
      <c r="N10" s="3"/>
    </row>
    <row r="11" spans="1:14" x14ac:dyDescent="0.3">
      <c r="A11" s="3"/>
      <c r="B11" s="3"/>
      <c r="C11" s="3"/>
      <c r="D11" s="3"/>
      <c r="E11" s="3"/>
      <c r="F11" s="3"/>
      <c r="G11" s="3"/>
      <c r="H11" s="3"/>
      <c r="I11" s="3"/>
      <c r="J11" s="3"/>
      <c r="K11" s="3"/>
      <c r="L11" s="3"/>
      <c r="M11" s="3"/>
      <c r="N11" s="3"/>
    </row>
    <row r="12" spans="1:14" x14ac:dyDescent="0.3">
      <c r="A12" s="3"/>
      <c r="B12" s="3"/>
      <c r="C12" s="3"/>
      <c r="D12" s="3"/>
      <c r="E12" s="3"/>
      <c r="F12" s="3"/>
      <c r="G12" s="3"/>
      <c r="H12" s="3"/>
      <c r="I12" s="3"/>
      <c r="J12" s="3"/>
      <c r="K12" s="3"/>
      <c r="L12" s="3"/>
      <c r="M12" s="3"/>
      <c r="N12" s="3"/>
    </row>
    <row r="13" spans="1:14" x14ac:dyDescent="0.3">
      <c r="A13" s="3"/>
      <c r="B13" s="3"/>
      <c r="C13" s="3"/>
      <c r="D13" s="3"/>
      <c r="E13" s="3"/>
      <c r="F13" s="3"/>
      <c r="G13" s="3"/>
      <c r="H13" s="3"/>
      <c r="I13" s="3"/>
      <c r="J13" s="3"/>
      <c r="K13" s="3"/>
      <c r="L13" s="3"/>
      <c r="M13" s="3"/>
      <c r="N13" s="3"/>
    </row>
    <row r="14" spans="1:14" x14ac:dyDescent="0.3">
      <c r="A14" s="3"/>
      <c r="B14" s="3"/>
      <c r="C14" s="3"/>
      <c r="D14" s="3"/>
      <c r="E14" s="3"/>
      <c r="F14" s="3"/>
      <c r="G14" s="3"/>
      <c r="H14" s="3"/>
      <c r="I14" s="3"/>
      <c r="J14" s="3"/>
      <c r="K14" s="3"/>
      <c r="L14" s="3"/>
      <c r="M14" s="3"/>
      <c r="N14" s="3"/>
    </row>
    <row r="15" spans="1:14" x14ac:dyDescent="0.3">
      <c r="A15" s="3"/>
      <c r="B15" s="3"/>
      <c r="C15" s="3"/>
      <c r="D15" s="3"/>
      <c r="E15" s="3"/>
      <c r="F15" s="3"/>
      <c r="G15" s="3"/>
      <c r="H15" s="3"/>
      <c r="I15" s="3"/>
      <c r="J15" s="3"/>
      <c r="K15" s="3"/>
      <c r="L15" s="3"/>
      <c r="M15" s="3"/>
      <c r="N15" s="3"/>
    </row>
    <row r="16" spans="1:14" x14ac:dyDescent="0.3">
      <c r="A16" s="3"/>
      <c r="B16" s="3"/>
      <c r="C16" s="3"/>
      <c r="D16" s="3"/>
      <c r="E16" s="3"/>
      <c r="F16" s="3"/>
      <c r="G16" s="3"/>
      <c r="H16" s="3"/>
      <c r="I16" s="3"/>
      <c r="J16" s="3"/>
      <c r="K16" s="3"/>
      <c r="L16" s="3"/>
      <c r="M16" s="3"/>
      <c r="N16" s="3"/>
    </row>
    <row r="17" spans="1:14" x14ac:dyDescent="0.3">
      <c r="A17" s="3"/>
      <c r="B17" s="3"/>
      <c r="C17" s="3"/>
      <c r="D17" s="3"/>
      <c r="E17" s="3"/>
      <c r="F17" s="3"/>
      <c r="G17" s="3"/>
      <c r="H17" s="3"/>
      <c r="I17" s="3"/>
      <c r="J17" s="3"/>
      <c r="K17" s="3"/>
      <c r="L17" s="3"/>
      <c r="M17" s="3"/>
      <c r="N17" s="3"/>
    </row>
    <row r="18" spans="1:14" x14ac:dyDescent="0.3">
      <c r="A18" s="3"/>
      <c r="B18" s="3"/>
      <c r="C18" s="3"/>
      <c r="D18" s="3"/>
      <c r="E18" s="3"/>
      <c r="F18" s="3"/>
      <c r="G18" s="3"/>
      <c r="H18" s="3"/>
      <c r="I18" s="3"/>
      <c r="J18" s="3"/>
      <c r="K18" s="3"/>
      <c r="L18" s="3"/>
      <c r="M18" s="3"/>
      <c r="N18" s="3"/>
    </row>
    <row r="19" spans="1:14" x14ac:dyDescent="0.3">
      <c r="A19" s="3"/>
      <c r="B19" s="3"/>
      <c r="C19" s="3"/>
      <c r="D19" s="3"/>
      <c r="E19" s="3"/>
      <c r="F19" s="3"/>
      <c r="G19" s="3"/>
      <c r="H19" s="3"/>
      <c r="I19" s="3"/>
      <c r="J19" s="3"/>
      <c r="K19" s="3"/>
      <c r="L19" s="3"/>
      <c r="M19" s="3"/>
      <c r="N19" s="3"/>
    </row>
    <row r="20" spans="1:14" x14ac:dyDescent="0.3">
      <c r="A20" s="3"/>
      <c r="B20" s="3"/>
      <c r="C20" s="3"/>
      <c r="D20" s="3"/>
      <c r="E20" s="3"/>
      <c r="F20" s="3"/>
      <c r="G20" s="3"/>
      <c r="H20" s="3"/>
      <c r="I20" s="3"/>
      <c r="J20" s="3"/>
      <c r="K20" s="3"/>
      <c r="L20" s="3"/>
      <c r="M20" s="3"/>
      <c r="N20" s="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65142-276C-4EB8-A381-0948A55C2D0D}">
  <dimension ref="A1:N20"/>
  <sheetViews>
    <sheetView zoomScale="159" workbookViewId="0"/>
  </sheetViews>
  <sheetFormatPr defaultRowHeight="14.4" x14ac:dyDescent="0.3"/>
  <sheetData>
    <row r="1" spans="1:14" x14ac:dyDescent="0.3">
      <c r="A1" s="3"/>
      <c r="B1" s="3"/>
      <c r="C1" s="3"/>
      <c r="D1" s="3"/>
      <c r="E1" s="3"/>
      <c r="F1" s="3"/>
      <c r="G1" s="3"/>
      <c r="H1" s="3"/>
      <c r="I1" s="3"/>
      <c r="J1" s="3"/>
      <c r="K1" s="3"/>
      <c r="L1" s="3"/>
      <c r="M1" s="3"/>
      <c r="N1" s="3"/>
    </row>
    <row r="2" spans="1:14" x14ac:dyDescent="0.3">
      <c r="A2" s="3"/>
      <c r="B2" s="3"/>
      <c r="C2" s="3"/>
      <c r="D2" s="3"/>
      <c r="E2" s="3"/>
      <c r="F2" s="3"/>
      <c r="G2" s="3"/>
      <c r="H2" s="3"/>
      <c r="I2" s="3"/>
      <c r="J2" s="3"/>
      <c r="K2" s="3"/>
      <c r="L2" s="3"/>
      <c r="M2" s="3"/>
      <c r="N2" s="3"/>
    </row>
    <row r="3" spans="1:14" x14ac:dyDescent="0.3">
      <c r="A3" s="3"/>
      <c r="B3" s="3"/>
      <c r="C3" s="3"/>
      <c r="D3" s="3"/>
      <c r="E3" s="3"/>
      <c r="F3" s="3"/>
      <c r="G3" s="3"/>
      <c r="H3" s="3"/>
      <c r="I3" s="3"/>
      <c r="J3" s="3"/>
      <c r="K3" s="3"/>
      <c r="L3" s="3"/>
      <c r="M3" s="3"/>
      <c r="N3" s="3"/>
    </row>
    <row r="4" spans="1:14" x14ac:dyDescent="0.3">
      <c r="A4" s="3"/>
      <c r="B4" s="3"/>
      <c r="C4" s="3"/>
      <c r="D4" s="3"/>
      <c r="E4" s="3"/>
      <c r="F4" s="3"/>
      <c r="G4" s="3"/>
      <c r="H4" s="3"/>
      <c r="I4" s="3"/>
      <c r="J4" s="3"/>
      <c r="K4" s="3"/>
      <c r="L4" s="3"/>
      <c r="M4" s="3"/>
      <c r="N4" s="3"/>
    </row>
    <row r="5" spans="1:14" x14ac:dyDescent="0.3">
      <c r="A5" s="3"/>
      <c r="B5" s="3"/>
      <c r="C5" s="3"/>
      <c r="D5" s="3"/>
      <c r="E5" s="3"/>
      <c r="F5" s="3"/>
      <c r="G5" s="3"/>
      <c r="H5" s="3"/>
      <c r="I5" s="3"/>
      <c r="J5" s="3"/>
      <c r="K5" s="3"/>
      <c r="L5" s="3"/>
      <c r="M5" s="3"/>
      <c r="N5" s="3"/>
    </row>
    <row r="6" spans="1:14" x14ac:dyDescent="0.3">
      <c r="A6" s="3"/>
      <c r="B6" s="3"/>
      <c r="C6" s="3"/>
      <c r="D6" s="3"/>
      <c r="E6" s="3"/>
      <c r="F6" s="3"/>
      <c r="G6" s="3"/>
      <c r="H6" s="3"/>
      <c r="I6" s="3"/>
      <c r="J6" s="3"/>
      <c r="K6" s="3"/>
      <c r="L6" s="3"/>
      <c r="M6" s="3"/>
      <c r="N6" s="3"/>
    </row>
    <row r="7" spans="1:14" x14ac:dyDescent="0.3">
      <c r="A7" s="3"/>
      <c r="B7" s="3"/>
      <c r="C7" s="3"/>
      <c r="D7" s="3"/>
      <c r="E7" s="3"/>
      <c r="F7" s="3"/>
      <c r="G7" s="3"/>
      <c r="H7" s="3"/>
      <c r="I7" s="3"/>
      <c r="J7" s="3"/>
      <c r="K7" s="3"/>
      <c r="L7" s="3"/>
      <c r="M7" s="3"/>
      <c r="N7" s="3"/>
    </row>
    <row r="8" spans="1:14" x14ac:dyDescent="0.3">
      <c r="A8" s="3"/>
      <c r="B8" s="3"/>
      <c r="C8" s="3"/>
      <c r="D8" s="3"/>
      <c r="E8" s="3"/>
      <c r="F8" s="3"/>
      <c r="G8" s="3"/>
      <c r="H8" s="3"/>
      <c r="I8" s="3"/>
      <c r="J8" s="3"/>
      <c r="K8" s="3"/>
      <c r="L8" s="3"/>
      <c r="M8" s="3"/>
      <c r="N8" s="3"/>
    </row>
    <row r="9" spans="1:14" x14ac:dyDescent="0.3">
      <c r="A9" s="3"/>
      <c r="B9" s="3"/>
      <c r="C9" s="3"/>
      <c r="D9" s="3"/>
      <c r="E9" s="3"/>
      <c r="F9" s="3"/>
      <c r="G9" s="3"/>
      <c r="H9" s="3"/>
      <c r="I9" s="3"/>
      <c r="J9" s="3"/>
      <c r="K9" s="3"/>
      <c r="L9" s="3"/>
      <c r="M9" s="3"/>
      <c r="N9" s="3"/>
    </row>
    <row r="10" spans="1:14" x14ac:dyDescent="0.3">
      <c r="A10" s="3"/>
      <c r="B10" s="3"/>
      <c r="C10" s="3"/>
      <c r="D10" s="3"/>
      <c r="E10" s="3"/>
      <c r="F10" s="3"/>
      <c r="G10" s="3"/>
      <c r="H10" s="3"/>
      <c r="I10" s="3"/>
      <c r="J10" s="3"/>
      <c r="K10" s="3"/>
      <c r="L10" s="3"/>
      <c r="M10" s="3"/>
      <c r="N10" s="3"/>
    </row>
    <row r="11" spans="1:14" x14ac:dyDescent="0.3">
      <c r="A11" s="3"/>
      <c r="B11" s="3"/>
      <c r="C11" s="3"/>
      <c r="D11" s="3"/>
      <c r="E11" s="3"/>
      <c r="F11" s="3"/>
      <c r="G11" s="3"/>
      <c r="H11" s="3"/>
      <c r="I11" s="3"/>
      <c r="J11" s="3"/>
      <c r="K11" s="3"/>
      <c r="L11" s="3"/>
      <c r="M11" s="3"/>
      <c r="N11" s="3"/>
    </row>
    <row r="12" spans="1:14" x14ac:dyDescent="0.3">
      <c r="A12" s="3"/>
      <c r="B12" s="3"/>
      <c r="C12" s="3"/>
      <c r="D12" s="3"/>
      <c r="E12" s="3"/>
      <c r="F12" s="3"/>
      <c r="G12" s="3"/>
      <c r="H12" s="3"/>
      <c r="I12" s="3"/>
      <c r="J12" s="3"/>
      <c r="K12" s="3"/>
      <c r="L12" s="3"/>
      <c r="M12" s="3"/>
      <c r="N12" s="3"/>
    </row>
    <row r="13" spans="1:14" x14ac:dyDescent="0.3">
      <c r="A13" s="3"/>
      <c r="B13" s="3"/>
      <c r="C13" s="3"/>
      <c r="D13" s="3"/>
      <c r="E13" s="3"/>
      <c r="F13" s="3"/>
      <c r="G13" s="3"/>
      <c r="H13" s="3"/>
      <c r="I13" s="3"/>
      <c r="J13" s="3"/>
      <c r="K13" s="3"/>
      <c r="L13" s="3"/>
      <c r="M13" s="3"/>
      <c r="N13" s="3"/>
    </row>
    <row r="14" spans="1:14" x14ac:dyDescent="0.3">
      <c r="A14" s="3"/>
      <c r="B14" s="3"/>
      <c r="C14" s="3"/>
      <c r="D14" s="3"/>
      <c r="E14" s="3"/>
      <c r="F14" s="3"/>
      <c r="G14" s="3"/>
      <c r="H14" s="3"/>
      <c r="I14" s="3"/>
      <c r="J14" s="3"/>
      <c r="K14" s="3"/>
      <c r="L14" s="3"/>
      <c r="M14" s="3"/>
      <c r="N14" s="3"/>
    </row>
    <row r="15" spans="1:14" x14ac:dyDescent="0.3">
      <c r="A15" s="3"/>
      <c r="B15" s="3"/>
      <c r="C15" s="3"/>
      <c r="D15" s="3"/>
      <c r="E15" s="3"/>
      <c r="F15" s="3"/>
      <c r="G15" s="3"/>
      <c r="H15" s="3"/>
      <c r="I15" s="3"/>
      <c r="J15" s="3"/>
      <c r="K15" s="3"/>
      <c r="L15" s="3"/>
      <c r="M15" s="3"/>
      <c r="N15" s="3"/>
    </row>
    <row r="16" spans="1:14" x14ac:dyDescent="0.3">
      <c r="A16" s="3"/>
      <c r="B16" s="3"/>
      <c r="C16" s="3"/>
      <c r="D16" s="3"/>
      <c r="E16" s="3"/>
      <c r="F16" s="3"/>
      <c r="G16" s="3"/>
      <c r="H16" s="3"/>
      <c r="I16" s="3"/>
      <c r="J16" s="3"/>
      <c r="K16" s="3"/>
      <c r="L16" s="3"/>
      <c r="M16" s="3"/>
      <c r="N16" s="3"/>
    </row>
    <row r="17" spans="1:14" x14ac:dyDescent="0.3">
      <c r="A17" s="3"/>
      <c r="B17" s="3"/>
      <c r="C17" s="3"/>
      <c r="D17" s="3"/>
      <c r="E17" s="3"/>
      <c r="F17" s="3"/>
      <c r="G17" s="3"/>
      <c r="H17" s="3"/>
      <c r="I17" s="3"/>
      <c r="J17" s="3"/>
      <c r="K17" s="3"/>
      <c r="L17" s="3"/>
      <c r="M17" s="3"/>
      <c r="N17" s="3"/>
    </row>
    <row r="18" spans="1:14" x14ac:dyDescent="0.3">
      <c r="A18" s="3"/>
      <c r="B18" s="3"/>
      <c r="C18" s="3"/>
      <c r="D18" s="3"/>
      <c r="E18" s="3"/>
      <c r="F18" s="3"/>
      <c r="G18" s="3"/>
      <c r="H18" s="3"/>
      <c r="I18" s="3"/>
      <c r="J18" s="3"/>
      <c r="K18" s="3"/>
      <c r="L18" s="3"/>
      <c r="M18" s="3"/>
      <c r="N18" s="3"/>
    </row>
    <row r="19" spans="1:14" x14ac:dyDescent="0.3">
      <c r="A19" s="3"/>
      <c r="B19" s="3"/>
      <c r="C19" s="3"/>
      <c r="D19" s="3"/>
      <c r="E19" s="3"/>
      <c r="F19" s="3"/>
      <c r="G19" s="3"/>
      <c r="H19" s="3"/>
      <c r="I19" s="3"/>
      <c r="J19" s="3"/>
      <c r="K19" s="3"/>
      <c r="L19" s="3"/>
      <c r="M19" s="3"/>
      <c r="N19" s="3"/>
    </row>
    <row r="20" spans="1:14" x14ac:dyDescent="0.3">
      <c r="A20" s="3"/>
      <c r="B20" s="3"/>
      <c r="C20" s="3"/>
      <c r="D20" s="3"/>
      <c r="E20" s="3"/>
      <c r="F20" s="3"/>
      <c r="G20" s="3"/>
      <c r="H20" s="3"/>
      <c r="I20" s="3"/>
      <c r="J20" s="3"/>
      <c r="K20" s="3"/>
      <c r="L20" s="3"/>
      <c r="M20" s="3"/>
      <c r="N20" s="3"/>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D9635-553C-43CC-84F1-9F82809558F0}">
  <dimension ref="B4:N59"/>
  <sheetViews>
    <sheetView zoomScale="93" workbookViewId="0">
      <selection activeCell="B54" sqref="B54:C57"/>
    </sheetView>
  </sheetViews>
  <sheetFormatPr defaultRowHeight="14.4" x14ac:dyDescent="0.3"/>
  <cols>
    <col min="1" max="2" width="32.5546875" bestFit="1" customWidth="1"/>
    <col min="3" max="3" width="29.33203125" bestFit="1" customWidth="1"/>
    <col min="4" max="4" width="27.77734375" customWidth="1"/>
    <col min="5" max="5" width="24.21875" bestFit="1" customWidth="1"/>
    <col min="6" max="6" width="25.44140625" bestFit="1" customWidth="1"/>
    <col min="7" max="7" width="29.33203125" bestFit="1" customWidth="1"/>
    <col min="8" max="8" width="24.21875" bestFit="1" customWidth="1"/>
    <col min="9" max="9" width="13" bestFit="1" customWidth="1"/>
    <col min="10" max="10" width="32.6640625" bestFit="1" customWidth="1"/>
    <col min="11" max="11" width="25.44140625" bestFit="1" customWidth="1"/>
    <col min="13" max="13" width="25.44140625" bestFit="1" customWidth="1"/>
    <col min="14" max="14" width="32.5546875" bestFit="1" customWidth="1"/>
    <col min="16" max="16" width="32.5546875" bestFit="1" customWidth="1"/>
  </cols>
  <sheetData>
    <row r="4" spans="2:14" x14ac:dyDescent="0.3">
      <c r="B4" t="s">
        <v>0</v>
      </c>
    </row>
    <row r="5" spans="2:14" x14ac:dyDescent="0.3">
      <c r="B5" s="14">
        <v>513</v>
      </c>
      <c r="G5" s="1" t="s">
        <v>3</v>
      </c>
      <c r="H5" t="s">
        <v>0</v>
      </c>
      <c r="J5" s="1" t="s">
        <v>3</v>
      </c>
      <c r="K5" t="s">
        <v>1</v>
      </c>
      <c r="M5" s="1" t="s">
        <v>3</v>
      </c>
      <c r="N5" t="s">
        <v>2</v>
      </c>
    </row>
    <row r="6" spans="2:14" x14ac:dyDescent="0.3">
      <c r="G6" s="4" t="s">
        <v>21</v>
      </c>
      <c r="H6" s="14">
        <v>19</v>
      </c>
      <c r="J6" s="4" t="s">
        <v>21</v>
      </c>
      <c r="K6" s="2">
        <v>37.789473684210527</v>
      </c>
      <c r="M6" s="4" t="s">
        <v>21</v>
      </c>
      <c r="N6" s="2">
        <v>6.666666666666667</v>
      </c>
    </row>
    <row r="7" spans="2:14" x14ac:dyDescent="0.3">
      <c r="G7" s="4" t="s">
        <v>22</v>
      </c>
      <c r="H7" s="14">
        <v>14</v>
      </c>
      <c r="J7" s="4" t="s">
        <v>22</v>
      </c>
      <c r="K7" s="2">
        <v>38.214285714285715</v>
      </c>
      <c r="M7" s="4" t="s">
        <v>22</v>
      </c>
      <c r="N7" s="2">
        <v>3.5</v>
      </c>
    </row>
    <row r="8" spans="2:14" x14ac:dyDescent="0.3">
      <c r="G8" s="4" t="s">
        <v>23</v>
      </c>
      <c r="H8" s="14">
        <v>13</v>
      </c>
      <c r="J8" s="4" t="s">
        <v>23</v>
      </c>
      <c r="K8" s="2">
        <v>40.92307692307692</v>
      </c>
      <c r="M8" s="4" t="s">
        <v>23</v>
      </c>
      <c r="N8" s="2">
        <v>4.5</v>
      </c>
    </row>
    <row r="9" spans="2:14" x14ac:dyDescent="0.3">
      <c r="B9" t="s">
        <v>1</v>
      </c>
      <c r="G9" s="4" t="s">
        <v>24</v>
      </c>
      <c r="H9" s="14">
        <v>22</v>
      </c>
      <c r="J9" s="4" t="s">
        <v>24</v>
      </c>
      <c r="K9" s="2">
        <v>34.5</v>
      </c>
      <c r="M9" s="4" t="s">
        <v>24</v>
      </c>
      <c r="N9" s="2">
        <v>4.8</v>
      </c>
    </row>
    <row r="10" spans="2:14" x14ac:dyDescent="0.3">
      <c r="B10" s="2">
        <v>36.323586744639378</v>
      </c>
      <c r="G10" s="4" t="s">
        <v>25</v>
      </c>
      <c r="H10" s="14">
        <v>19</v>
      </c>
      <c r="J10" s="4" t="s">
        <v>25</v>
      </c>
      <c r="K10" s="2">
        <v>30.684210526315791</v>
      </c>
      <c r="M10" s="4" t="s">
        <v>25</v>
      </c>
      <c r="N10" s="2">
        <v>7.75</v>
      </c>
    </row>
    <row r="11" spans="2:14" x14ac:dyDescent="0.3">
      <c r="G11" s="4" t="s">
        <v>26</v>
      </c>
      <c r="H11" s="14">
        <v>15</v>
      </c>
      <c r="J11" s="4" t="s">
        <v>26</v>
      </c>
      <c r="K11" s="2">
        <v>37.666666666666664</v>
      </c>
      <c r="M11" s="4" t="s">
        <v>26</v>
      </c>
      <c r="N11" s="2">
        <v>6.2</v>
      </c>
    </row>
    <row r="12" spans="2:14" x14ac:dyDescent="0.3">
      <c r="G12" s="4" t="s">
        <v>27</v>
      </c>
      <c r="H12" s="14">
        <v>12</v>
      </c>
      <c r="J12" s="4" t="s">
        <v>27</v>
      </c>
      <c r="K12" s="2">
        <v>36.083333333333336</v>
      </c>
      <c r="M12" s="4" t="s">
        <v>27</v>
      </c>
      <c r="N12" s="2">
        <v>3.75</v>
      </c>
    </row>
    <row r="13" spans="2:14" x14ac:dyDescent="0.3">
      <c r="G13" s="4" t="s">
        <v>28</v>
      </c>
      <c r="H13" s="14">
        <v>21</v>
      </c>
      <c r="J13" s="4" t="s">
        <v>28</v>
      </c>
      <c r="K13" s="2">
        <v>43.523809523809526</v>
      </c>
      <c r="M13" s="4" t="s">
        <v>28</v>
      </c>
      <c r="N13" s="2">
        <v>6.5</v>
      </c>
    </row>
    <row r="14" spans="2:14" x14ac:dyDescent="0.3">
      <c r="B14" t="s">
        <v>2</v>
      </c>
      <c r="G14" s="4" t="s">
        <v>29</v>
      </c>
      <c r="H14" s="14">
        <v>12</v>
      </c>
      <c r="J14" s="4" t="s">
        <v>29</v>
      </c>
      <c r="K14" s="2">
        <v>29.5</v>
      </c>
      <c r="M14" s="4" t="s">
        <v>29</v>
      </c>
      <c r="N14" s="2">
        <v>3</v>
      </c>
    </row>
    <row r="15" spans="2:14" x14ac:dyDescent="0.3">
      <c r="B15" s="2">
        <v>4.9591836734693882</v>
      </c>
      <c r="G15" s="4" t="s">
        <v>30</v>
      </c>
      <c r="H15" s="14">
        <v>13</v>
      </c>
      <c r="J15" s="4" t="s">
        <v>30</v>
      </c>
      <c r="K15" s="2">
        <v>38.07692307692308</v>
      </c>
      <c r="M15" s="4" t="s">
        <v>30</v>
      </c>
      <c r="N15" s="2">
        <v>4.5</v>
      </c>
    </row>
    <row r="16" spans="2:14" x14ac:dyDescent="0.3">
      <c r="G16" s="4" t="s">
        <v>31</v>
      </c>
      <c r="H16" s="14">
        <v>13</v>
      </c>
      <c r="J16" s="4" t="s">
        <v>31</v>
      </c>
      <c r="K16" s="2">
        <v>35.846153846153847</v>
      </c>
      <c r="M16" s="4" t="s">
        <v>31</v>
      </c>
      <c r="N16" s="2">
        <v>6</v>
      </c>
    </row>
    <row r="17" spans="2:14" x14ac:dyDescent="0.3">
      <c r="G17" s="4" t="s">
        <v>32</v>
      </c>
      <c r="H17" s="14">
        <v>16</v>
      </c>
      <c r="J17" s="4" t="s">
        <v>32</v>
      </c>
      <c r="K17" s="2">
        <v>32.625</v>
      </c>
      <c r="M17" s="4" t="s">
        <v>32</v>
      </c>
      <c r="N17" s="2">
        <v>5.2</v>
      </c>
    </row>
    <row r="18" spans="2:14" x14ac:dyDescent="0.3">
      <c r="B18" s="1" t="s">
        <v>3</v>
      </c>
      <c r="C18" t="s">
        <v>5</v>
      </c>
      <c r="D18" t="s">
        <v>8</v>
      </c>
      <c r="G18" s="4" t="s">
        <v>33</v>
      </c>
      <c r="H18" s="14">
        <v>20</v>
      </c>
      <c r="J18" s="4" t="s">
        <v>33</v>
      </c>
      <c r="K18" s="2">
        <v>39.200000000000003</v>
      </c>
      <c r="M18" s="4" t="s">
        <v>33</v>
      </c>
      <c r="N18" s="2">
        <v>4.4000000000000004</v>
      </c>
    </row>
    <row r="19" spans="2:14" x14ac:dyDescent="0.3">
      <c r="B19" s="4" t="s">
        <v>6</v>
      </c>
      <c r="C19" s="7">
        <v>269</v>
      </c>
      <c r="D19" s="8">
        <v>0.52436647173489281</v>
      </c>
      <c r="G19" s="4" t="s">
        <v>34</v>
      </c>
      <c r="H19" s="14">
        <v>25</v>
      </c>
      <c r="J19" s="4" t="s">
        <v>34</v>
      </c>
      <c r="K19" s="2">
        <v>35.28</v>
      </c>
      <c r="M19" s="4" t="s">
        <v>34</v>
      </c>
      <c r="N19" s="2">
        <v>3.4545454545454546</v>
      </c>
    </row>
    <row r="20" spans="2:14" x14ac:dyDescent="0.3">
      <c r="B20" s="4" t="s">
        <v>7</v>
      </c>
      <c r="C20" s="7">
        <v>244</v>
      </c>
      <c r="D20" s="8">
        <v>0.47563352826510719</v>
      </c>
      <c r="G20" s="4" t="s">
        <v>35</v>
      </c>
      <c r="H20" s="14">
        <v>20</v>
      </c>
      <c r="J20" s="4" t="s">
        <v>35</v>
      </c>
      <c r="K20" s="2">
        <v>32.549999999999997</v>
      </c>
      <c r="M20" s="4" t="s">
        <v>35</v>
      </c>
      <c r="N20" s="2">
        <v>4.4000000000000004</v>
      </c>
    </row>
    <row r="21" spans="2:14" x14ac:dyDescent="0.3">
      <c r="B21" s="4" t="s">
        <v>4</v>
      </c>
      <c r="C21" s="2">
        <v>513</v>
      </c>
      <c r="D21" s="8">
        <v>1</v>
      </c>
      <c r="G21" s="4" t="s">
        <v>36</v>
      </c>
      <c r="H21" s="14">
        <v>14</v>
      </c>
      <c r="J21" s="4" t="s">
        <v>36</v>
      </c>
      <c r="K21" s="2">
        <v>35.642857142857146</v>
      </c>
      <c r="M21" s="4" t="s">
        <v>36</v>
      </c>
      <c r="N21" s="2">
        <v>5.833333333333333</v>
      </c>
    </row>
    <row r="22" spans="2:14" x14ac:dyDescent="0.3">
      <c r="G22" s="4" t="s">
        <v>37</v>
      </c>
      <c r="H22" s="14">
        <v>17</v>
      </c>
      <c r="J22" s="4" t="s">
        <v>37</v>
      </c>
      <c r="K22" s="2">
        <v>38.764705882352942</v>
      </c>
      <c r="M22" s="4" t="s">
        <v>37</v>
      </c>
      <c r="N22" s="2">
        <v>4.4444444444444446</v>
      </c>
    </row>
    <row r="23" spans="2:14" x14ac:dyDescent="0.3">
      <c r="G23" s="4" t="s">
        <v>38</v>
      </c>
      <c r="H23" s="14">
        <v>20</v>
      </c>
      <c r="J23" s="4" t="s">
        <v>38</v>
      </c>
      <c r="K23" s="2">
        <v>39.9</v>
      </c>
      <c r="M23" s="4" t="s">
        <v>38</v>
      </c>
      <c r="N23" s="2">
        <v>5.333333333333333</v>
      </c>
    </row>
    <row r="24" spans="2:14" x14ac:dyDescent="0.3">
      <c r="B24" s="12" t="s">
        <v>9</v>
      </c>
      <c r="C24" s="12" t="s">
        <v>10</v>
      </c>
      <c r="D24" s="12" t="s">
        <v>11</v>
      </c>
      <c r="E24" s="13"/>
      <c r="G24" s="4" t="s">
        <v>39</v>
      </c>
      <c r="H24" s="14">
        <v>10</v>
      </c>
      <c r="J24" s="4" t="s">
        <v>39</v>
      </c>
      <c r="K24" s="2">
        <v>41.6</v>
      </c>
      <c r="M24" s="4" t="s">
        <v>39</v>
      </c>
      <c r="N24" s="2">
        <v>5.333333333333333</v>
      </c>
    </row>
    <row r="25" spans="2:14" x14ac:dyDescent="0.3">
      <c r="B25" s="9" t="str">
        <f>B20</f>
        <v>Not Admitted</v>
      </c>
      <c r="C25" s="9">
        <f>C20</f>
        <v>244</v>
      </c>
      <c r="D25" s="10">
        <f>D20</f>
        <v>0.47563352826510719</v>
      </c>
      <c r="E25" s="11"/>
      <c r="G25" s="4" t="s">
        <v>40</v>
      </c>
      <c r="H25" s="14">
        <v>17</v>
      </c>
      <c r="J25" s="4" t="s">
        <v>40</v>
      </c>
      <c r="K25" s="2">
        <v>39.470588235294116</v>
      </c>
      <c r="M25" s="4" t="s">
        <v>40</v>
      </c>
      <c r="N25" s="2">
        <v>5.5714285714285712</v>
      </c>
    </row>
    <row r="26" spans="2:14" x14ac:dyDescent="0.3">
      <c r="B26" s="9" t="str">
        <f>B19</f>
        <v>Admitted</v>
      </c>
      <c r="C26" s="9">
        <f>C19</f>
        <v>269</v>
      </c>
      <c r="D26" s="10">
        <f>D19</f>
        <v>0.52436647173489281</v>
      </c>
      <c r="E26" s="11"/>
      <c r="G26" s="4" t="s">
        <v>41</v>
      </c>
      <c r="H26" s="14">
        <v>15</v>
      </c>
      <c r="J26" s="4" t="s">
        <v>41</v>
      </c>
      <c r="K26" s="2">
        <v>27.733333333333334</v>
      </c>
      <c r="M26" s="4" t="s">
        <v>41</v>
      </c>
      <c r="N26" s="2">
        <v>5</v>
      </c>
    </row>
    <row r="27" spans="2:14" x14ac:dyDescent="0.3">
      <c r="G27" s="4" t="s">
        <v>42</v>
      </c>
      <c r="H27" s="14">
        <v>16</v>
      </c>
      <c r="J27" s="4" t="s">
        <v>42</v>
      </c>
      <c r="K27" s="2">
        <v>36.875</v>
      </c>
      <c r="M27" s="4" t="s">
        <v>42</v>
      </c>
      <c r="N27" s="2">
        <v>6.4</v>
      </c>
    </row>
    <row r="28" spans="2:14" x14ac:dyDescent="0.3">
      <c r="G28" s="4" t="s">
        <v>43</v>
      </c>
      <c r="H28" s="14">
        <v>18</v>
      </c>
      <c r="J28" s="4" t="s">
        <v>43</v>
      </c>
      <c r="K28" s="2">
        <v>40.333333333333336</v>
      </c>
      <c r="M28" s="4" t="s">
        <v>43</v>
      </c>
      <c r="N28" s="2">
        <v>5.333333333333333</v>
      </c>
    </row>
    <row r="29" spans="2:14" x14ac:dyDescent="0.3">
      <c r="G29" s="4" t="s">
        <v>44</v>
      </c>
      <c r="H29" s="14">
        <v>16</v>
      </c>
      <c r="J29" s="4" t="s">
        <v>44</v>
      </c>
      <c r="K29" s="2">
        <v>36.5</v>
      </c>
      <c r="M29" s="4" t="s">
        <v>44</v>
      </c>
      <c r="N29" s="2">
        <v>3.75</v>
      </c>
    </row>
    <row r="30" spans="2:14" x14ac:dyDescent="0.3">
      <c r="B30" s="1" t="s">
        <v>3</v>
      </c>
      <c r="C30" t="s">
        <v>20</v>
      </c>
      <c r="G30" s="4" t="s">
        <v>45</v>
      </c>
      <c r="H30" s="14">
        <v>15</v>
      </c>
      <c r="J30" s="4" t="s">
        <v>45</v>
      </c>
      <c r="K30" s="2">
        <v>32.866666666666667</v>
      </c>
      <c r="M30" s="4" t="s">
        <v>45</v>
      </c>
      <c r="N30" s="2">
        <v>6.333333333333333</v>
      </c>
    </row>
    <row r="31" spans="2:14" x14ac:dyDescent="0.3">
      <c r="B31" s="4" t="s">
        <v>12</v>
      </c>
      <c r="C31" s="7">
        <v>76</v>
      </c>
      <c r="G31" s="4" t="s">
        <v>46</v>
      </c>
      <c r="H31" s="14">
        <v>14</v>
      </c>
      <c r="J31" s="4" t="s">
        <v>46</v>
      </c>
      <c r="K31" s="2">
        <v>36.642857142857146</v>
      </c>
      <c r="M31" s="4" t="s">
        <v>46</v>
      </c>
      <c r="N31" s="2">
        <v>10</v>
      </c>
    </row>
    <row r="32" spans="2:14" x14ac:dyDescent="0.3">
      <c r="B32" s="4" t="s">
        <v>13</v>
      </c>
      <c r="C32" s="7">
        <v>69</v>
      </c>
      <c r="G32" s="4" t="s">
        <v>47</v>
      </c>
      <c r="H32" s="14">
        <v>16</v>
      </c>
      <c r="J32" s="4" t="s">
        <v>47</v>
      </c>
      <c r="K32" s="2">
        <v>36.5625</v>
      </c>
      <c r="M32" s="4" t="s">
        <v>47</v>
      </c>
      <c r="N32" s="2">
        <v>5</v>
      </c>
    </row>
    <row r="33" spans="2:14" x14ac:dyDescent="0.3">
      <c r="B33" s="4" t="s">
        <v>14</v>
      </c>
      <c r="C33" s="7">
        <v>64</v>
      </c>
      <c r="G33" s="4" t="s">
        <v>48</v>
      </c>
      <c r="H33" s="14">
        <v>20</v>
      </c>
      <c r="J33" s="4" t="s">
        <v>48</v>
      </c>
      <c r="K33" s="2">
        <v>32.15</v>
      </c>
      <c r="M33" s="4" t="s">
        <v>48</v>
      </c>
      <c r="N33" s="2">
        <v>5.333333333333333</v>
      </c>
    </row>
    <row r="34" spans="2:14" x14ac:dyDescent="0.3">
      <c r="B34" s="4" t="s">
        <v>15</v>
      </c>
      <c r="C34" s="7">
        <v>59</v>
      </c>
      <c r="G34" s="4" t="s">
        <v>49</v>
      </c>
      <c r="H34" s="14">
        <v>19</v>
      </c>
      <c r="J34" s="4" t="s">
        <v>49</v>
      </c>
      <c r="K34" s="2">
        <v>38.368421052631582</v>
      </c>
      <c r="M34" s="4" t="s">
        <v>49</v>
      </c>
      <c r="N34" s="2">
        <v>4.8</v>
      </c>
    </row>
    <row r="35" spans="2:14" x14ac:dyDescent="0.3">
      <c r="B35" s="4" t="s">
        <v>16</v>
      </c>
      <c r="C35" s="7">
        <v>58</v>
      </c>
      <c r="G35" s="4" t="s">
        <v>50</v>
      </c>
      <c r="H35" s="14">
        <v>14</v>
      </c>
      <c r="J35" s="4" t="s">
        <v>50</v>
      </c>
      <c r="K35" s="2">
        <v>33.071428571428569</v>
      </c>
      <c r="M35" s="4" t="s">
        <v>50</v>
      </c>
      <c r="N35" s="2">
        <v>5</v>
      </c>
    </row>
    <row r="36" spans="2:14" x14ac:dyDescent="0.3">
      <c r="B36" s="4" t="s">
        <v>17</v>
      </c>
      <c r="C36" s="7">
        <v>66</v>
      </c>
      <c r="G36" s="4" t="s">
        <v>51</v>
      </c>
      <c r="H36" s="14">
        <v>18</v>
      </c>
      <c r="J36" s="4" t="s">
        <v>51</v>
      </c>
      <c r="K36" s="2">
        <v>36.444444444444443</v>
      </c>
      <c r="M36" s="4" t="s">
        <v>51</v>
      </c>
      <c r="N36" s="2">
        <v>1.4</v>
      </c>
    </row>
    <row r="37" spans="2:14" x14ac:dyDescent="0.3">
      <c r="B37" s="4" t="s">
        <v>18</v>
      </c>
      <c r="C37" s="7">
        <v>67</v>
      </c>
      <c r="G37" s="4" t="s">
        <v>4</v>
      </c>
      <c r="H37" s="14">
        <v>513</v>
      </c>
      <c r="J37" s="4" t="s">
        <v>4</v>
      </c>
      <c r="K37" s="14">
        <v>36.323586744639378</v>
      </c>
      <c r="M37" s="4" t="s">
        <v>4</v>
      </c>
      <c r="N37" s="14">
        <v>4.9591836734693882</v>
      </c>
    </row>
    <row r="38" spans="2:14" x14ac:dyDescent="0.3">
      <c r="B38" s="4" t="s">
        <v>19</v>
      </c>
      <c r="C38" s="7">
        <v>54</v>
      </c>
    </row>
    <row r="39" spans="2:14" x14ac:dyDescent="0.3">
      <c r="B39" s="4" t="s">
        <v>4</v>
      </c>
      <c r="C39" s="7">
        <v>513</v>
      </c>
    </row>
    <row r="42" spans="2:14" x14ac:dyDescent="0.3">
      <c r="B42" s="1" t="s">
        <v>3</v>
      </c>
      <c r="C42" t="s">
        <v>67</v>
      </c>
    </row>
    <row r="43" spans="2:14" x14ac:dyDescent="0.3">
      <c r="B43" s="4" t="s">
        <v>60</v>
      </c>
      <c r="C43" s="7">
        <v>4</v>
      </c>
    </row>
    <row r="44" spans="2:14" x14ac:dyDescent="0.3">
      <c r="B44" s="4" t="s">
        <v>66</v>
      </c>
      <c r="C44" s="7">
        <v>5</v>
      </c>
    </row>
    <row r="45" spans="2:14" x14ac:dyDescent="0.3">
      <c r="B45" s="4" t="s">
        <v>62</v>
      </c>
      <c r="C45" s="7">
        <v>9</v>
      </c>
    </row>
    <row r="46" spans="2:14" x14ac:dyDescent="0.3">
      <c r="B46" s="4" t="s">
        <v>65</v>
      </c>
      <c r="C46" s="7">
        <v>14</v>
      </c>
    </row>
    <row r="47" spans="2:14" x14ac:dyDescent="0.3">
      <c r="B47" s="4" t="s">
        <v>59</v>
      </c>
      <c r="C47" s="7">
        <v>14</v>
      </c>
    </row>
    <row r="48" spans="2:14" x14ac:dyDescent="0.3">
      <c r="B48" s="4" t="s">
        <v>64</v>
      </c>
      <c r="C48" s="7">
        <v>65</v>
      </c>
      <c r="I48" t="s">
        <v>58</v>
      </c>
    </row>
    <row r="49" spans="2:10" x14ac:dyDescent="0.3">
      <c r="B49" s="4" t="s">
        <v>61</v>
      </c>
      <c r="C49" s="7">
        <v>103</v>
      </c>
      <c r="I49" s="1" t="s">
        <v>3</v>
      </c>
      <c r="J49" t="s">
        <v>57</v>
      </c>
    </row>
    <row r="50" spans="2:10" x14ac:dyDescent="0.3">
      <c r="B50" s="4" t="s">
        <v>63</v>
      </c>
      <c r="C50" s="7">
        <v>299</v>
      </c>
      <c r="I50" s="4" t="s">
        <v>55</v>
      </c>
      <c r="J50" s="7">
        <v>241</v>
      </c>
    </row>
    <row r="51" spans="2:10" ht="15" customHeight="1" x14ac:dyDescent="0.3">
      <c r="B51" s="4" t="s">
        <v>4</v>
      </c>
      <c r="C51" s="7">
        <v>513</v>
      </c>
      <c r="I51" s="4" t="s">
        <v>56</v>
      </c>
      <c r="J51" s="7">
        <v>272</v>
      </c>
    </row>
    <row r="52" spans="2:10" ht="14.4" customHeight="1" x14ac:dyDescent="0.3">
      <c r="I52" s="4" t="s">
        <v>4</v>
      </c>
      <c r="J52" s="7">
        <v>513</v>
      </c>
    </row>
    <row r="54" spans="2:10" x14ac:dyDescent="0.3">
      <c r="B54" s="1" t="s">
        <v>3</v>
      </c>
      <c r="C54" t="s">
        <v>54</v>
      </c>
    </row>
    <row r="55" spans="2:10" x14ac:dyDescent="0.3">
      <c r="B55" s="4" t="s">
        <v>52</v>
      </c>
      <c r="C55" s="7">
        <v>316</v>
      </c>
    </row>
    <row r="56" spans="2:10" x14ac:dyDescent="0.3">
      <c r="B56" s="4" t="s">
        <v>53</v>
      </c>
      <c r="C56" s="7">
        <v>197</v>
      </c>
    </row>
    <row r="57" spans="2:10" x14ac:dyDescent="0.3">
      <c r="B57" s="4" t="s">
        <v>4</v>
      </c>
      <c r="C57" s="7">
        <v>513</v>
      </c>
      <c r="F57" s="1" t="s">
        <v>3</v>
      </c>
    </row>
    <row r="58" spans="2:10" x14ac:dyDescent="0.3">
      <c r="F58" s="4" t="s">
        <v>68</v>
      </c>
    </row>
    <row r="59" spans="2:10" x14ac:dyDescent="0.3">
      <c r="F59" s="4" t="s">
        <v>4</v>
      </c>
    </row>
  </sheetData>
  <pageMargins left="0.7" right="0.7" top="0.75" bottom="0.75" header="0.3" footer="0.3"/>
  <drawing r:id="rId1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Props1.xml><?xml version="1.0" encoding="utf-8"?>
<ds:datastoreItem xmlns:ds="http://schemas.openxmlformats.org/officeDocument/2006/customXml" ds:itemID="{F1F2BF0E-53E5-4E9F-8AB7-111105E37CEC}">
  <ds:schemaRefs/>
</ds:datastoreItem>
</file>

<file path=customXml/itemProps2.xml><?xml version="1.0" encoding="utf-8"?>
<ds:datastoreItem xmlns:ds="http://schemas.openxmlformats.org/officeDocument/2006/customXml" ds:itemID="{5826138B-8C9B-412F-B7C1-407CD36EE556}">
  <ds:schemaRefs/>
</ds:datastoreItem>
</file>

<file path=customXml/itemProps3.xml><?xml version="1.0" encoding="utf-8"?>
<ds:datastoreItem xmlns:ds="http://schemas.openxmlformats.org/officeDocument/2006/customXml" ds:itemID="{555B8EE9-D5E3-4374-A057-91CB61E8422A}">
  <ds:schemaRefs/>
</ds:datastoreItem>
</file>

<file path=customXml/itemProps4.xml><?xml version="1.0" encoding="utf-8"?>
<ds:datastoreItem xmlns:ds="http://schemas.openxmlformats.org/officeDocument/2006/customXml" ds:itemID="{9EF813D4-F709-422A-BEA6-75493768F3A8}">
  <ds:schemaRefs/>
</ds:datastoreItem>
</file>

<file path=customXml/itemProps5.xml><?xml version="1.0" encoding="utf-8"?>
<ds:datastoreItem xmlns:ds="http://schemas.openxmlformats.org/officeDocument/2006/customXml" ds:itemID="{EB4C94EC-2A08-4ADD-8C89-1842F9D8EEEB}">
  <ds:schemaRefs/>
</ds:datastoreItem>
</file>

<file path=customXml/itemProps6.xml><?xml version="1.0" encoding="utf-8"?>
<ds:datastoreItem xmlns:ds="http://schemas.openxmlformats.org/officeDocument/2006/customXml" ds:itemID="{EF52359D-DFC7-4EEF-8A80-26CE19749C35}">
  <ds:schemaRefs/>
</ds:datastoreItem>
</file>

<file path=customXml/itemProps7.xml><?xml version="1.0" encoding="utf-8"?>
<ds:datastoreItem xmlns:ds="http://schemas.openxmlformats.org/officeDocument/2006/customXml" ds:itemID="{C06699A6-46D4-4CF0-B446-555FDAD4D141}">
  <ds:schemaRefs/>
</ds:datastoreItem>
</file>

<file path=customXml/itemProps8.xml><?xml version="1.0" encoding="utf-8"?>
<ds:datastoreItem xmlns:ds="http://schemas.openxmlformats.org/officeDocument/2006/customXml" ds:itemID="{F962C5E4-9AEC-43E3-A9E3-0B015A4D0F73}">
  <ds:schemaRefs/>
</ds:datastoreItem>
</file>

<file path=customXml/itemProps9.xml><?xml version="1.0" encoding="utf-8"?>
<ds:datastoreItem xmlns:ds="http://schemas.openxmlformats.org/officeDocument/2006/customXml" ds:itemID="{D5671AAF-C4B7-498A-847F-573043F5B23D}">
  <ds:schemaRefs>
    <ds:schemaRef ds:uri="http://schemas.microsoft.com/DataMashup"/>
  </ds:schemaRefs>
</ds:datastoreItem>
</file>

<file path=customXml/itemProps10.xml><?xml version="1.0" encoding="utf-8"?>
<ds:datastoreItem xmlns:ds="http://schemas.openxmlformats.org/officeDocument/2006/customXml" ds:itemID="{AFC38764-8BFE-46CF-92F4-15470D3609C5}">
  <ds:schemaRefs/>
</ds:datastoreItem>
</file>

<file path=customXml/itemProps11.xml><?xml version="1.0" encoding="utf-8"?>
<ds:datastoreItem xmlns:ds="http://schemas.openxmlformats.org/officeDocument/2006/customXml" ds:itemID="{AD48D566-7229-4A14-B7D1-67E2E29E363B}">
  <ds:schemaRefs/>
</ds:datastoreItem>
</file>

<file path=customXml/itemProps12.xml><?xml version="1.0" encoding="utf-8"?>
<ds:datastoreItem xmlns:ds="http://schemas.openxmlformats.org/officeDocument/2006/customXml" ds:itemID="{6DCBC9BF-7683-4EEC-861B-6CFD84F00040}">
  <ds:schemaRefs/>
</ds:datastoreItem>
</file>

<file path=customXml/itemProps13.xml><?xml version="1.0" encoding="utf-8"?>
<ds:datastoreItem xmlns:ds="http://schemas.openxmlformats.org/officeDocument/2006/customXml" ds:itemID="{0F73E024-D789-4A70-9F61-8B11BDE494C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Daily ER No. Of Patients</vt:lpstr>
      <vt:lpstr>Average Daily Wait Time Trend</vt:lpstr>
      <vt:lpstr>Satisfaction Score Daily Trend</vt:lpstr>
      <vt:lpstr>Pivot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 Tejeendra</dc:creator>
  <cp:lastModifiedBy>A Tejeendra</cp:lastModifiedBy>
  <dcterms:created xsi:type="dcterms:W3CDTF">2026-03-28T18:26:23Z</dcterms:created>
  <dcterms:modified xsi:type="dcterms:W3CDTF">2026-03-29T14:56:17Z</dcterms:modified>
</cp:coreProperties>
</file>